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-7040\Desktop\AI\"/>
    </mc:Choice>
  </mc:AlternateContent>
  <xr:revisionPtr revIDLastSave="0" documentId="13_ncr:1_{123B5B76-3DE3-418E-9464-4EB862DC55E0}" xr6:coauthVersionLast="43" xr6:coauthVersionMax="43" xr10:uidLastSave="{00000000-0000-0000-0000-000000000000}"/>
  <bookViews>
    <workbookView xWindow="-120" yWindow="-120" windowWidth="29040" windowHeight="15840" activeTab="1" xr2:uid="{00000000-000D-0000-FFFF-FFFF00000000}"/>
  </bookViews>
  <sheets>
    <sheet name="Tháng 10" sheetId="1" r:id="rId1"/>
    <sheet name="Tháng 2" sheetId="16" r:id="rId2"/>
  </sheets>
  <externalReferences>
    <externalReference r:id="rId3"/>
    <externalReference r:id="rId4"/>
    <externalReference r:id="rId5"/>
  </externalReferences>
  <definedNames>
    <definedName name="_xlnm._FilterDatabase" localSheetId="0" hidden="1">'Tháng 10'!$A$4:$ALH$24</definedName>
    <definedName name="_xlnm._FilterDatabase" localSheetId="1" hidden="1">'Tháng 2'!$A$4:$ALK$24</definedName>
    <definedName name="A">[1]DM!$T$4:$T$9</definedName>
    <definedName name="CamKetTT">[1]DM!$U$4:$U$5</definedName>
    <definedName name="Chi_Tiet_Suat_An" localSheetId="1">#REF!</definedName>
    <definedName name="Chi_Tiet_Suat_An">#REF!</definedName>
    <definedName name="ChiCoNamSinh">[1]DM!$U$4:$U$5</definedName>
    <definedName name="DaCoSo">[1]DM!$U$4:$U$5</definedName>
    <definedName name="GioiTinh">[1]DM!$E$4:$E$5</definedName>
    <definedName name="HeThong">[1]DM!$A$4:$A$5</definedName>
    <definedName name="LoaiD02">[1]DM!$D$4:$D$7</definedName>
    <definedName name="LoaiHoSoHN">[1]DM!$C$4:$C$14</definedName>
    <definedName name="MaLuongTT">[1]DM!$R$4:$R$7</definedName>
    <definedName name="MaPhuong">[2]Data!$I$4:$I$11230</definedName>
    <definedName name="MaQuan">[2]Data!$F$4:$F$713</definedName>
    <definedName name="MaQuanHe">[2]Data!$L$4:$L$7</definedName>
    <definedName name="MaQuocGia">[2]Data!$J$4:$J$5</definedName>
    <definedName name="MaVungSS">[1]DM!$S$4:$S$7</definedName>
    <definedName name="MucHuongBHYT">[1]DM!$Q$4:$Q$8</definedName>
    <definedName name="PhuongAn">[1]DM!$O$4:$O$23</definedName>
    <definedName name="_xlnm.Print_Area" localSheetId="0">'Tháng 10'!$A$1:$AJ$26</definedName>
    <definedName name="_xlnm.Print_Area" localSheetId="1">'Tháng 2'!$A$1:$AM$26</definedName>
    <definedName name="S">[2]Data!$B$4:$B$67</definedName>
    <definedName name="StartingBalance" localSheetId="1">#REF!</definedName>
    <definedName name="StartingBalance">#REF!</definedName>
    <definedName name="TenPhuong">[2]Data!$G$4:$G$11230</definedName>
    <definedName name="TenQuan">[2]Data!$D$4:$D$713</definedName>
    <definedName name="TenQuocGia">[2]Data!$J$4:$J$5</definedName>
    <definedName name="TenTinh">[2]Data!$B$4:$B$67</definedName>
    <definedName name="THEM">[2]Data!$I$4:$I$11230</definedName>
    <definedName name="TyLeDong">[1]DM!$T$4:$T$9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J25" i="16" l="1"/>
  <c r="AH25" i="16"/>
  <c r="AE25" i="16"/>
  <c r="AC25" i="16"/>
  <c r="AB25" i="16"/>
  <c r="AA25" i="16"/>
  <c r="Z25" i="16"/>
  <c r="Y25" i="16"/>
  <c r="X25" i="16"/>
  <c r="S25" i="16"/>
  <c r="R25" i="16"/>
  <c r="M25" i="16"/>
  <c r="K25" i="16"/>
  <c r="J25" i="16"/>
  <c r="AG24" i="16"/>
  <c r="AL24" i="16" s="1"/>
  <c r="A24" i="16"/>
  <c r="AG23" i="16"/>
  <c r="AL23" i="16" s="1"/>
  <c r="A23" i="16"/>
  <c r="AG22" i="16"/>
  <c r="AL22" i="16" s="1"/>
  <c r="A22" i="16"/>
  <c r="AG21" i="16"/>
  <c r="AL21" i="16" s="1"/>
  <c r="A21" i="16"/>
  <c r="AG20" i="16"/>
  <c r="AL20" i="16" s="1"/>
  <c r="A20" i="16"/>
  <c r="AG19" i="16"/>
  <c r="AL19" i="16" s="1"/>
  <c r="A19" i="16"/>
  <c r="AI18" i="16"/>
  <c r="AG18" i="16"/>
  <c r="AL18" i="16" s="1"/>
  <c r="A18" i="16"/>
  <c r="AG17" i="16"/>
  <c r="AL17" i="16" s="1"/>
  <c r="N17" i="16"/>
  <c r="A17" i="16"/>
  <c r="AK16" i="16"/>
  <c r="O16" i="16"/>
  <c r="AG16" i="16" s="1"/>
  <c r="N16" i="16"/>
  <c r="A16" i="16"/>
  <c r="AK15" i="16"/>
  <c r="N15" i="16"/>
  <c r="H15" i="16"/>
  <c r="O15" i="16" s="1"/>
  <c r="AG15" i="16" s="1"/>
  <c r="A15" i="16"/>
  <c r="AK14" i="16"/>
  <c r="O14" i="16"/>
  <c r="AG14" i="16" s="1"/>
  <c r="A14" i="16"/>
  <c r="AK13" i="16"/>
  <c r="O13" i="16"/>
  <c r="AG13" i="16" s="1"/>
  <c r="A13" i="16"/>
  <c r="AK12" i="16"/>
  <c r="L12" i="16"/>
  <c r="O12" i="16" s="1"/>
  <c r="AG12" i="16" s="1"/>
  <c r="A12" i="16"/>
  <c r="AK11" i="16"/>
  <c r="L11" i="16"/>
  <c r="O11" i="16" s="1"/>
  <c r="AG11" i="16" s="1"/>
  <c r="A11" i="16"/>
  <c r="AK10" i="16"/>
  <c r="O10" i="16"/>
  <c r="AG10" i="16" s="1"/>
  <c r="A10" i="16"/>
  <c r="AK9" i="16"/>
  <c r="O9" i="16"/>
  <c r="AG9" i="16" s="1"/>
  <c r="AL9" i="16" s="1"/>
  <c r="A9" i="16"/>
  <c r="AK8" i="16"/>
  <c r="O8" i="16"/>
  <c r="AG8" i="16" s="1"/>
  <c r="N8" i="16"/>
  <c r="A8" i="16"/>
  <c r="AK7" i="16"/>
  <c r="O7" i="16"/>
  <c r="AG7" i="16" s="1"/>
  <c r="AI7" i="16" s="1"/>
  <c r="N7" i="16"/>
  <c r="A7" i="16"/>
  <c r="AK6" i="16"/>
  <c r="N6" i="16"/>
  <c r="H6" i="16"/>
  <c r="O6" i="16" s="1"/>
  <c r="AG6" i="16" s="1"/>
  <c r="A6" i="16"/>
  <c r="AK5" i="16"/>
  <c r="O5" i="16"/>
  <c r="AG5" i="16" s="1"/>
  <c r="N5" i="16"/>
  <c r="A5" i="16"/>
  <c r="W25" i="16"/>
  <c r="Q25" i="16"/>
  <c r="I25" i="16"/>
  <c r="AF25" i="16"/>
  <c r="AI22" i="16" l="1"/>
  <c r="N11" i="16"/>
  <c r="AL5" i="16"/>
  <c r="AI21" i="16"/>
  <c r="H25" i="16"/>
  <c r="AI20" i="16"/>
  <c r="AI24" i="16"/>
  <c r="AK25" i="16"/>
  <c r="AI9" i="16"/>
  <c r="N12" i="16"/>
  <c r="N25" i="16" s="1"/>
  <c r="AI17" i="16"/>
  <c r="AI19" i="16"/>
  <c r="AI23" i="16"/>
  <c r="AL13" i="16"/>
  <c r="AI13" i="16"/>
  <c r="AI5" i="16"/>
  <c r="AL7" i="16"/>
  <c r="L25" i="16"/>
  <c r="AL16" i="16"/>
  <c r="O25" i="16"/>
  <c r="AL6" i="16"/>
  <c r="AI6" i="16"/>
  <c r="T25" i="16"/>
  <c r="AL12" i="16"/>
  <c r="AI12" i="16"/>
  <c r="AL14" i="16"/>
  <c r="AI14" i="16"/>
  <c r="U25" i="16"/>
  <c r="AI15" i="16"/>
  <c r="AL15" i="16"/>
  <c r="AI11" i="16"/>
  <c r="AL11" i="16"/>
  <c r="AL8" i="16"/>
  <c r="AI8" i="16"/>
  <c r="AL10" i="16"/>
  <c r="AI10" i="16"/>
  <c r="AI16" i="16"/>
  <c r="P25" i="16"/>
  <c r="AG25" i="16" l="1"/>
  <c r="V25" i="16"/>
  <c r="AI25" i="16"/>
  <c r="AL25" i="16" l="1"/>
  <c r="AG25" i="1" l="1"/>
  <c r="AE25" i="1"/>
  <c r="AD25" i="1"/>
  <c r="H6" i="1" l="1"/>
  <c r="O6" i="1" s="1"/>
  <c r="AF6" i="1" s="1"/>
  <c r="AH6" i="1"/>
  <c r="N6" i="1"/>
  <c r="A6" i="1"/>
  <c r="AI6" i="1" l="1"/>
  <c r="Y25" i="1" l="1"/>
  <c r="O15" i="1" l="1"/>
  <c r="AC25" i="1" l="1"/>
  <c r="AB25" i="1"/>
  <c r="Z25" i="1"/>
  <c r="X25" i="1"/>
  <c r="S25" i="1"/>
  <c r="R25" i="1"/>
  <c r="M25" i="1"/>
  <c r="L25" i="1"/>
  <c r="K25" i="1"/>
  <c r="J25" i="1"/>
  <c r="AF19" i="1" l="1"/>
  <c r="AF20" i="1"/>
  <c r="AF21" i="1"/>
  <c r="AF22" i="1"/>
  <c r="AF23" i="1"/>
  <c r="AF24" i="1"/>
  <c r="AA25" i="1" l="1"/>
  <c r="N10" i="1" l="1"/>
  <c r="N11" i="1" s="1"/>
  <c r="N12" i="1" s="1"/>
  <c r="W25" i="1" l="1"/>
  <c r="AI24" i="1"/>
  <c r="A24" i="1"/>
  <c r="AI20" i="1" l="1"/>
  <c r="AI21" i="1"/>
  <c r="AI22" i="1"/>
  <c r="AI23" i="1"/>
  <c r="N7" i="1"/>
  <c r="A5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I7" i="1" l="1"/>
  <c r="H7" i="1" l="1"/>
  <c r="O7" i="1" s="1"/>
  <c r="AF7" i="1" s="1"/>
  <c r="AI7" i="1" s="1"/>
  <c r="I25" i="1"/>
  <c r="N13" i="1"/>
  <c r="N17" i="1" l="1"/>
  <c r="T25" i="1" l="1"/>
  <c r="O5" i="1"/>
  <c r="AF5" i="1" s="1"/>
  <c r="O18" i="1" l="1"/>
  <c r="AI19" i="1"/>
  <c r="AF18" i="1" l="1"/>
  <c r="H17" i="1" l="1"/>
  <c r="O17" i="1" s="1"/>
  <c r="AH17" i="1"/>
  <c r="AF17" i="1" l="1"/>
  <c r="AI17" i="1" l="1"/>
  <c r="H25" i="1" l="1"/>
  <c r="AH5" i="1"/>
  <c r="V25" i="1" l="1"/>
  <c r="U25" i="1"/>
  <c r="N9" i="1" l="1"/>
  <c r="O9" i="1"/>
  <c r="AF9" i="1" s="1"/>
  <c r="AH9" i="1"/>
  <c r="N15" i="1" l="1"/>
  <c r="N16" i="1" s="1"/>
  <c r="AI9" i="1"/>
  <c r="AH8" i="1"/>
  <c r="AH10" i="1"/>
  <c r="AH11" i="1"/>
  <c r="AH12" i="1"/>
  <c r="AH13" i="1"/>
  <c r="AH14" i="1"/>
  <c r="AH15" i="1"/>
  <c r="AH16" i="1"/>
  <c r="AH18" i="1"/>
  <c r="O13" i="1"/>
  <c r="AF13" i="1" s="1"/>
  <c r="O16" i="1"/>
  <c r="AF16" i="1" s="1"/>
  <c r="AF15" i="1"/>
  <c r="O14" i="1"/>
  <c r="O12" i="1"/>
  <c r="AF12" i="1" s="1"/>
  <c r="O10" i="1"/>
  <c r="AF10" i="1" s="1"/>
  <c r="N19" i="1"/>
  <c r="Q25" i="1"/>
  <c r="P25" i="1"/>
  <c r="N5" i="1"/>
  <c r="N8" i="1"/>
  <c r="N14" i="1"/>
  <c r="N18" i="1"/>
  <c r="O11" i="1"/>
  <c r="O8" i="1"/>
  <c r="AF8" i="1" s="1"/>
  <c r="AH25" i="1" l="1"/>
  <c r="N25" i="1"/>
  <c r="AF11" i="1"/>
  <c r="AF14" i="1"/>
  <c r="AI13" i="1"/>
  <c r="AI8" i="1"/>
  <c r="AI15" i="1"/>
  <c r="AI10" i="1"/>
  <c r="AI16" i="1"/>
  <c r="AI12" i="1"/>
  <c r="AI5" i="1"/>
  <c r="O25" i="1"/>
  <c r="AF25" i="1" l="1"/>
  <c r="AI11" i="1"/>
  <c r="AI14" i="1"/>
  <c r="AI18" i="1"/>
  <c r="AI2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Dell-7040</author>
  </authors>
  <commentList>
    <comment ref="I5" authorId="0" shapeId="0" xr:uid="{D9BD6FFF-EFA7-42EC-AD41-172E72BBBE6A}">
      <text>
        <r>
          <rPr>
            <b/>
            <sz val="9"/>
            <color indexed="81"/>
            <rFont val="Tahoma"/>
            <family val="2"/>
          </rPr>
          <t>Dell-7040:</t>
        </r>
        <r>
          <rPr>
            <sz val="9"/>
            <color indexed="81"/>
            <rFont val="Tahoma"/>
            <family val="2"/>
          </rPr>
          <t xml:space="preserve">
Lên lương từ 1.7.2025
</t>
        </r>
      </text>
    </comment>
    <comment ref="I8" authorId="0" shapeId="0" xr:uid="{B5D1D151-8FC2-4F38-8954-21CCA7E72782}">
      <text>
        <r>
          <rPr>
            <b/>
            <sz val="9"/>
            <color indexed="81"/>
            <rFont val="Tahoma"/>
            <family val="2"/>
          </rPr>
          <t>Dell-7040:</t>
        </r>
        <r>
          <rPr>
            <sz val="9"/>
            <color indexed="81"/>
            <rFont val="Tahoma"/>
            <family val="2"/>
          </rPr>
          <t xml:space="preserve">
Tăng lương 1/8 quản lý team livestream</t>
        </r>
      </text>
    </comment>
    <comment ref="AC8" authorId="0" shapeId="0" xr:uid="{81E68DD4-21C9-4710-8102-08111CC784E9}">
      <text>
        <r>
          <rPr>
            <b/>
            <sz val="9"/>
            <color indexed="81"/>
            <rFont val="Tahoma"/>
            <family val="2"/>
          </rPr>
          <t>Dell-7040:</t>
        </r>
        <r>
          <rPr>
            <sz val="9"/>
            <color indexed="81"/>
            <rFont val="Tahoma"/>
            <family val="2"/>
          </rPr>
          <t xml:space="preserve">
Bù chênh lệch lương tăng từ 1/8/2025</t>
        </r>
      </text>
    </comment>
    <comment ref="AD17" authorId="0" shapeId="0" xr:uid="{0F6035FB-676B-4C5E-B177-3A268A8C66D9}">
      <text>
        <r>
          <rPr>
            <b/>
            <sz val="9"/>
            <color indexed="81"/>
            <rFont val="Tahoma"/>
            <family val="2"/>
          </rPr>
          <t>Dell-7040:</t>
        </r>
        <r>
          <rPr>
            <sz val="9"/>
            <color indexed="81"/>
            <rFont val="Tahoma"/>
            <family val="2"/>
          </rPr>
          <t xml:space="preserve">
Trừ tiền máy ảnh hư T8,9,10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Dell-7040</author>
  </authors>
  <commentList>
    <comment ref="I5" authorId="0" shapeId="0" xr:uid="{E4A17A30-B454-46FC-965D-8A73E78D7AE5}">
      <text>
        <r>
          <rPr>
            <b/>
            <sz val="9"/>
            <color indexed="81"/>
            <rFont val="Tahoma"/>
            <family val="2"/>
          </rPr>
          <t>Dell-7040:</t>
        </r>
        <r>
          <rPr>
            <sz val="9"/>
            <color indexed="81"/>
            <rFont val="Tahoma"/>
            <family val="2"/>
          </rPr>
          <t xml:space="preserve">
Lên lương từ 1.7.2025
</t>
        </r>
      </text>
    </comment>
    <comment ref="Z5" authorId="0" shapeId="0" xr:uid="{84DAAA9B-35F5-4542-B31A-3ADDFEEEAF5B}">
      <text>
        <r>
          <rPr>
            <b/>
            <sz val="9"/>
            <color indexed="81"/>
            <rFont val="Tahoma"/>
            <family val="2"/>
          </rPr>
          <t>Dell-7040:</t>
        </r>
        <r>
          <rPr>
            <sz val="9"/>
            <color indexed="81"/>
            <rFont val="Tahoma"/>
            <family val="2"/>
          </rPr>
          <t xml:space="preserve">
thưởng vượt kpi</t>
        </r>
      </text>
    </comment>
    <comment ref="Z6" authorId="0" shapeId="0" xr:uid="{2EE762C1-4330-4DEC-ABAA-DD9285ACAC83}">
      <text>
        <r>
          <rPr>
            <b/>
            <sz val="9"/>
            <color indexed="81"/>
            <rFont val="Tahoma"/>
            <family val="2"/>
          </rPr>
          <t>Dell-7040:</t>
        </r>
        <r>
          <rPr>
            <sz val="9"/>
            <color indexed="81"/>
            <rFont val="Tahoma"/>
            <family val="2"/>
          </rPr>
          <t xml:space="preserve">
thuỏng vượt kpi</t>
        </r>
      </text>
    </comment>
    <comment ref="Z7" authorId="0" shapeId="0" xr:uid="{3A28753C-64C7-445D-90CF-75F37F8050A7}">
      <text>
        <r>
          <rPr>
            <b/>
            <sz val="9"/>
            <color indexed="81"/>
            <rFont val="Tahoma"/>
            <family val="2"/>
          </rPr>
          <t>Dell-7040:</t>
        </r>
        <r>
          <rPr>
            <sz val="9"/>
            <color indexed="81"/>
            <rFont val="Tahoma"/>
            <family val="2"/>
          </rPr>
          <t xml:space="preserve">
thuỏng vượt kpi</t>
        </r>
      </text>
    </comment>
    <comment ref="I8" authorId="0" shapeId="0" xr:uid="{CBB07DAE-FD2A-4470-A0B1-B7D93BA172FD}">
      <text>
        <r>
          <rPr>
            <b/>
            <sz val="9"/>
            <color indexed="81"/>
            <rFont val="Tahoma"/>
            <family val="2"/>
          </rPr>
          <t>Dell-7040:</t>
        </r>
        <r>
          <rPr>
            <sz val="9"/>
            <color indexed="81"/>
            <rFont val="Tahoma"/>
            <family val="2"/>
          </rPr>
          <t xml:space="preserve">
Tăng lương 1/8 quản lý team livestream</t>
        </r>
      </text>
    </comment>
    <comment ref="AC8" authorId="0" shapeId="0" xr:uid="{1549B30B-56EA-4E2E-B84F-6393D2C45262}">
      <text>
        <r>
          <rPr>
            <b/>
            <sz val="9"/>
            <color indexed="81"/>
            <rFont val="Tahoma"/>
            <family val="2"/>
          </rPr>
          <t>Dell-7040:</t>
        </r>
        <r>
          <rPr>
            <sz val="9"/>
            <color indexed="81"/>
            <rFont val="Tahoma"/>
            <family val="2"/>
          </rPr>
          <t xml:space="preserve">
Bù chênh lệch lương tăng từ 1/8/2025</t>
        </r>
      </text>
    </comment>
  </commentList>
</comments>
</file>

<file path=xl/sharedStrings.xml><?xml version="1.0" encoding="utf-8"?>
<sst xmlns="http://schemas.openxmlformats.org/spreadsheetml/2006/main" count="287" uniqueCount="109">
  <si>
    <t>STT</t>
  </si>
  <si>
    <t>Họ tên</t>
  </si>
  <si>
    <t>Chức danh</t>
  </si>
  <si>
    <t>Công chuẩn</t>
  </si>
  <si>
    <t>Phụ cấp</t>
  </si>
  <si>
    <t>Ghi chú</t>
  </si>
  <si>
    <t>Thử việc</t>
  </si>
  <si>
    <t>Chính thức</t>
  </si>
  <si>
    <t>Tổng cộng</t>
  </si>
  <si>
    <t>Lương thử việc</t>
  </si>
  <si>
    <t>Lương chính thức</t>
  </si>
  <si>
    <t>Chuyên cần</t>
  </si>
  <si>
    <t>Khác</t>
  </si>
  <si>
    <t>0011</t>
  </si>
  <si>
    <t>Đỗ Đức Trung</t>
  </si>
  <si>
    <t>0107</t>
  </si>
  <si>
    <t>Trần Hưng Long</t>
  </si>
  <si>
    <t>0089</t>
  </si>
  <si>
    <t>Lý Tiến Đạt</t>
  </si>
  <si>
    <t>0092</t>
  </si>
  <si>
    <t>Doãn Thị Hải Yến</t>
  </si>
  <si>
    <t>TỔNG CỘNG</t>
  </si>
  <si>
    <t>Phòng ban</t>
  </si>
  <si>
    <t>Bộ phận</t>
  </si>
  <si>
    <t>Trưởng phòng</t>
  </si>
  <si>
    <t>Kinh doanh</t>
  </si>
  <si>
    <t>Thiết kế đồ họa</t>
  </si>
  <si>
    <t>MSNV</t>
  </si>
  <si>
    <t>Trách nhiệm</t>
  </si>
  <si>
    <t>Thưởng</t>
  </si>
  <si>
    <t>Hoa hồng 
cá nhân</t>
  </si>
  <si>
    <t>Hoa hồng 
quản lý</t>
  </si>
  <si>
    <t>Mẫu mới</t>
  </si>
  <si>
    <t>Sỉ</t>
  </si>
  <si>
    <t>Doanh thu</t>
  </si>
  <si>
    <t>Tổng chi phí lương</t>
  </si>
  <si>
    <t>Mức lương</t>
  </si>
  <si>
    <t>Lương đóng
bảo hiểm</t>
  </si>
  <si>
    <t>Lương theo giờ</t>
  </si>
  <si>
    <t>Hồ Hoàng Khánh Thy</t>
  </si>
  <si>
    <t>Võ Trường Giang</t>
  </si>
  <si>
    <t>Công thực tế</t>
  </si>
  <si>
    <t>Lương làm việc</t>
  </si>
  <si>
    <t>Sàn TMĐT</t>
  </si>
  <si>
    <t>Photographer</t>
  </si>
  <si>
    <t>Thu nhập thực lãnh</t>
  </si>
  <si>
    <t>Công ty thanh toán BHBB (32%)</t>
  </si>
  <si>
    <t>Marketing</t>
  </si>
  <si>
    <t>Kinh Doanh</t>
  </si>
  <si>
    <t>Kim Văn Cường</t>
  </si>
  <si>
    <t xml:space="preserve">Giờ làm </t>
  </si>
  <si>
    <t>0156</t>
  </si>
  <si>
    <t>Nguyễn Thị Kim Hậu</t>
  </si>
  <si>
    <t>Booking Kol/Koc</t>
  </si>
  <si>
    <t>0154</t>
  </si>
  <si>
    <t>0139</t>
  </si>
  <si>
    <t>0137</t>
  </si>
  <si>
    <t>Livestream part-time</t>
  </si>
  <si>
    <t>Trưởng nhóm Facebook</t>
  </si>
  <si>
    <t>0170</t>
  </si>
  <si>
    <t>Trương Nữ Kiều My</t>
  </si>
  <si>
    <t>Phạt/Tạm ứng</t>
  </si>
  <si>
    <t>0171</t>
  </si>
  <si>
    <t>Châu Hữu Phước</t>
  </si>
  <si>
    <t>0173</t>
  </si>
  <si>
    <t>Nguyễn Tấn An</t>
  </si>
  <si>
    <t>0172</t>
  </si>
  <si>
    <t>Nguyễn Tường Vi</t>
  </si>
  <si>
    <t>Quay dựng</t>
  </si>
  <si>
    <t>Sàn TMĐT part-time</t>
  </si>
  <si>
    <t>Art Director</t>
  </si>
  <si>
    <t>Đóng đơn/
Khắc tên</t>
  </si>
  <si>
    <t>Hiệu quả</t>
  </si>
  <si>
    <t>Sự kiện</t>
  </si>
  <si>
    <t>Livestream</t>
  </si>
  <si>
    <t>Hoàn BHBB nhân viên</t>
  </si>
  <si>
    <t>0213</t>
  </si>
  <si>
    <t>Video Editor</t>
  </si>
  <si>
    <t>Trần Ngọc Tuyên</t>
  </si>
  <si>
    <t>0220</t>
  </si>
  <si>
    <t>Nguyễn Thị Vân Ly</t>
  </si>
  <si>
    <t>Nguyên Phạm Minh Thư</t>
  </si>
  <si>
    <t>Phạm Thị Thuỳ Linh</t>
  </si>
  <si>
    <t>Nguyễn Huỳnh Anh Thư</t>
  </si>
  <si>
    <t>0195</t>
  </si>
  <si>
    <t>Phạm Thị Ngọc Châu</t>
  </si>
  <si>
    <t>0194</t>
  </si>
  <si>
    <t>0187</t>
  </si>
  <si>
    <t>0223</t>
  </si>
  <si>
    <t>Trưởng nhóm truyền thông</t>
  </si>
  <si>
    <t>Trương Ngọc Thảo Quỳnh</t>
  </si>
  <si>
    <t>0053</t>
  </si>
  <si>
    <t>Trưởng nhóm Livestream</t>
  </si>
  <si>
    <t>0226</t>
  </si>
  <si>
    <t>Võ Trọng Sang</t>
  </si>
  <si>
    <t>BẢNG LƯƠNG THÁNG 10/2025</t>
  </si>
  <si>
    <t>Trưởng nhóm TMĐT</t>
  </si>
  <si>
    <t>BẢNG LƯƠNG THÁNG 2/2026</t>
  </si>
  <si>
    <t>Phạt/
Các khoản trừ khác</t>
  </si>
  <si>
    <t>Tạm ứng</t>
  </si>
  <si>
    <t>Lương chi Ngân hàng</t>
  </si>
  <si>
    <t>Lương chi Tiền mặt</t>
  </si>
  <si>
    <t>0241</t>
  </si>
  <si>
    <t>Phạm Trần Thiên Tường</t>
  </si>
  <si>
    <t>Thực tập TMĐT</t>
  </si>
  <si>
    <t>0180</t>
  </si>
  <si>
    <t>Sơn Thị Khã Ái</t>
  </si>
  <si>
    <t>0199</t>
  </si>
  <si>
    <t>Bùi Nhật Phương Quyên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</si>
</sst>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\-??\ _₫_-;_-@_-"/>
    <numFmt numFmtId="165" formatCode="_(* #,##0_);_(* \(#,##0\);_(* \-??_);_(@_)"/>
    <numFmt numFmtId="166" formatCode="_-* #,##0_-;\-* #,##0_-;_-* \-_-;_-@_-"/>
    <numFmt numFmtId="167" formatCode="_-* #,##0\ _₫_-;\-* #,##0\ _₫_-;_-* &quot;- &quot;_₫_-;_-@_-"/>
    <numFmt numFmtId="168" formatCode="d/m/yyyy;@"/>
    <numFmt numFmtId="169" formatCode="_(* #,##0_);_(* \(#,##0\);_(* &quot;-&quot;??_);_(@_)"/>
    <numFmt numFmtId="170" formatCode="#,##0.000"/>
    <numFmt numFmtId="171" formatCode="_-* #,##0.00\ _₫_-;\-* #,##0.00\ _₫_-;_-* &quot;-&quot;??\ _₫_-;_-@_-"/>
  </numFmts>
  <fonts count="39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  <charset val="1"/>
    </font>
    <font>
      <sz val="10"/>
      <color theme="1"/>
      <name val="Calibri"/>
      <family val="2"/>
    </font>
    <font>
      <sz val="12"/>
      <color rgb="FF9C6500"/>
      <name val="Arial"/>
      <family val="2"/>
    </font>
    <font>
      <sz val="10"/>
      <color theme="1"/>
      <name val="Times New Roman"/>
      <family val="1"/>
    </font>
    <font>
      <sz val="8"/>
      <color theme="1"/>
      <name val="Times New Roman"/>
      <family val="1"/>
      <charset val="1"/>
    </font>
    <font>
      <b/>
      <sz val="10"/>
      <color theme="1"/>
      <name val="Times New Roman"/>
      <family val="1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8"/>
      <color rgb="FFFF0000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7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CFFCC"/>
        <bgColor rgb="FFFFC9C9"/>
      </patternFill>
    </fill>
    <fill>
      <patternFill patternType="solid">
        <fgColor rgb="FFFF9999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theme="5" tint="0.39997558519241921"/>
        <bgColor rgb="FFCCFFCC"/>
      </patternFill>
    </fill>
    <fill>
      <patternFill patternType="solid">
        <fgColor theme="5" tint="0.39997558519241921"/>
        <bgColor rgb="FFFFC9C9"/>
      </patternFill>
    </fill>
    <fill>
      <patternFill patternType="solid">
        <fgColor theme="6" tint="0.79998168889431442"/>
        <bgColor rgb="FFCCFFCC"/>
      </patternFill>
    </fill>
    <fill>
      <patternFill patternType="solid">
        <fgColor theme="6" tint="0.79998168889431442"/>
        <bgColor rgb="FFFFC9C9"/>
      </patternFill>
    </fill>
    <fill>
      <patternFill patternType="solid">
        <fgColor rgb="FFFFFF99"/>
        <bgColor rgb="FFFFC9C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rgb="FFFFC9C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4593D3"/>
        <bgColor indexed="64"/>
      </patternFill>
    </fill>
    <fill>
      <patternFill patternType="solid">
        <fgColor rgb="FFFFEB9C"/>
      </patternFill>
    </fill>
    <fill>
      <patternFill patternType="solid">
        <fgColor rgb="FF00B0F0"/>
        <bgColor rgb="FFCCFFCC"/>
      </patternFill>
    </fill>
    <fill>
      <patternFill patternType="solid">
        <fgColor rgb="FFFF7C80"/>
      </patternFill>
    </fill>
    <fill>
      <patternFill patternType="solid">
        <fgColor rgb="FFFF7C80"/>
        <bgColor rgb="FFCCFFCC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7C80"/>
        <bgColor rgb="FFFFC9C9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55">
    <xf numFmtId="0" fontId="0" fillId="0" borderId="0"/>
    <xf numFmtId="0" fontId="9" fillId="0" borderId="0"/>
    <xf numFmtId="164" fontId="10" fillId="0" borderId="0" applyBorder="0" applyProtection="0"/>
    <xf numFmtId="164" fontId="10" fillId="0" borderId="0" applyBorder="0" applyProtection="0"/>
    <xf numFmtId="0" fontId="9" fillId="0" borderId="0"/>
    <xf numFmtId="0" fontId="8" fillId="0" borderId="0"/>
    <xf numFmtId="43" fontId="13" fillId="0" borderId="0" applyFont="0" applyFill="0" applyBorder="0" applyAlignment="0" applyProtection="0"/>
    <xf numFmtId="0" fontId="20" fillId="19" borderId="0" applyNumberFormat="0" applyBorder="0" applyAlignment="0" applyProtection="0"/>
    <xf numFmtId="0" fontId="10" fillId="0" borderId="0"/>
    <xf numFmtId="0" fontId="7" fillId="0" borderId="0"/>
    <xf numFmtId="43" fontId="10" fillId="0" borderId="0" applyFont="0" applyFill="0" applyBorder="0" applyAlignment="0" applyProtection="0"/>
    <xf numFmtId="0" fontId="25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6" fillId="0" borderId="2" applyNumberFormat="0" applyFill="0" applyAlignment="0" applyProtection="0"/>
    <xf numFmtId="0" fontId="10" fillId="0" borderId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7" fillId="0" borderId="0"/>
    <xf numFmtId="0" fontId="25" fillId="0" borderId="0"/>
    <xf numFmtId="41" fontId="7" fillId="0" borderId="0" applyFont="0" applyFill="0" applyBorder="0" applyAlignment="0" applyProtection="0"/>
    <xf numFmtId="0" fontId="28" fillId="0" borderId="0"/>
    <xf numFmtId="0" fontId="27" fillId="0" borderId="0"/>
    <xf numFmtId="9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0" fillId="0" borderId="0"/>
    <xf numFmtId="171" fontId="30" fillId="0" borderId="0" applyFont="0" applyFill="0" applyBorder="0" applyAlignment="0" applyProtection="0"/>
    <xf numFmtId="0" fontId="31" fillId="0" borderId="2" applyNumberFormat="0" applyFill="0" applyAlignment="0" applyProtection="0"/>
    <xf numFmtId="0" fontId="6" fillId="0" borderId="0"/>
    <xf numFmtId="41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36" fillId="0" borderId="0"/>
    <xf numFmtId="9" fontId="4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10" fillId="0" borderId="0"/>
    <xf numFmtId="41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56">
    <xf numFmtId="0" fontId="0" fillId="0" borderId="0" xfId="0"/>
    <xf numFmtId="0" fontId="15" fillId="0" borderId="0" xfId="0" applyFont="1" applyAlignment="1">
      <alignment vertical="center"/>
    </xf>
    <xf numFmtId="0" fontId="15" fillId="0" borderId="0" xfId="1" applyFont="1" applyAlignment="1">
      <alignment vertical="center"/>
    </xf>
    <xf numFmtId="0" fontId="15" fillId="0" borderId="0" xfId="1" applyFont="1" applyAlignment="1">
      <alignment horizontal="center" vertical="center"/>
    </xf>
    <xf numFmtId="166" fontId="15" fillId="0" borderId="0" xfId="1" applyNumberFormat="1" applyFont="1" applyAlignment="1">
      <alignment vertical="center"/>
    </xf>
    <xf numFmtId="166" fontId="15" fillId="0" borderId="0" xfId="1" applyNumberFormat="1" applyFont="1" applyAlignment="1">
      <alignment horizontal="right" vertical="center"/>
    </xf>
    <xf numFmtId="0" fontId="18" fillId="0" borderId="0" xfId="1" applyFont="1" applyAlignment="1">
      <alignment vertical="center"/>
    </xf>
    <xf numFmtId="0" fontId="19" fillId="0" borderId="0" xfId="0" applyFont="1"/>
    <xf numFmtId="0" fontId="14" fillId="0" borderId="0" xfId="1" applyFont="1" applyAlignment="1">
      <alignment vertical="center"/>
    </xf>
    <xf numFmtId="0" fontId="14" fillId="0" borderId="1" xfId="4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14" fillId="0" borderId="1" xfId="2" applyNumberFormat="1" applyFont="1" applyBorder="1" applyAlignment="1" applyProtection="1">
      <alignment horizontal="center" vertical="center"/>
    </xf>
    <xf numFmtId="3" fontId="14" fillId="0" borderId="1" xfId="2" applyNumberFormat="1" applyFont="1" applyBorder="1" applyAlignment="1" applyProtection="1">
      <alignment horizontal="right" vertical="center"/>
    </xf>
    <xf numFmtId="3" fontId="15" fillId="0" borderId="1" xfId="2" applyNumberFormat="1" applyFont="1" applyBorder="1" applyAlignment="1" applyProtection="1">
      <alignment horizontal="right" vertical="center"/>
    </xf>
    <xf numFmtId="0" fontId="17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3" fontId="15" fillId="0" borderId="0" xfId="1" applyNumberFormat="1" applyFont="1" applyAlignment="1">
      <alignment vertical="center" wrapText="1"/>
    </xf>
    <xf numFmtId="170" fontId="15" fillId="0" borderId="0" xfId="1" applyNumberFormat="1" applyFont="1" applyAlignment="1">
      <alignment vertical="center"/>
    </xf>
    <xf numFmtId="170" fontId="14" fillId="0" borderId="1" xfId="2" applyNumberFormat="1" applyFont="1" applyBorder="1" applyAlignment="1" applyProtection="1">
      <alignment horizontal="right" vertical="center"/>
    </xf>
    <xf numFmtId="0" fontId="17" fillId="8" borderId="1" xfId="1" applyFont="1" applyFill="1" applyBorder="1" applyAlignment="1">
      <alignment horizontal="center" vertical="center"/>
    </xf>
    <xf numFmtId="3" fontId="17" fillId="8" borderId="1" xfId="1" applyNumberFormat="1" applyFont="1" applyFill="1" applyBorder="1" applyAlignment="1">
      <alignment horizontal="right" vertical="center"/>
    </xf>
    <xf numFmtId="3" fontId="17" fillId="8" borderId="1" xfId="1" applyNumberFormat="1" applyFont="1" applyFill="1" applyBorder="1" applyAlignment="1">
      <alignment horizontal="center" vertical="center" wrapText="1"/>
    </xf>
    <xf numFmtId="0" fontId="16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166" fontId="18" fillId="0" borderId="0" xfId="1" applyNumberFormat="1" applyFont="1" applyAlignment="1">
      <alignment horizontal="right" vertical="center"/>
    </xf>
    <xf numFmtId="170" fontId="18" fillId="0" borderId="0" xfId="1" applyNumberFormat="1" applyFont="1" applyAlignment="1">
      <alignment horizontal="left" vertical="center"/>
    </xf>
    <xf numFmtId="170" fontId="18" fillId="0" borderId="0" xfId="1" applyNumberFormat="1" applyFont="1" applyAlignment="1">
      <alignment horizontal="right" vertical="center"/>
    </xf>
    <xf numFmtId="3" fontId="18" fillId="0" borderId="0" xfId="1" applyNumberFormat="1" applyFont="1" applyAlignment="1">
      <alignment horizontal="right" vertical="center"/>
    </xf>
    <xf numFmtId="3" fontId="23" fillId="0" borderId="0" xfId="1" applyNumberFormat="1" applyFont="1" applyAlignment="1">
      <alignment horizontal="right" vertical="center"/>
    </xf>
    <xf numFmtId="166" fontId="23" fillId="0" borderId="0" xfId="1" applyNumberFormat="1" applyFont="1" applyAlignment="1">
      <alignment horizontal="right" vertical="center"/>
    </xf>
    <xf numFmtId="3" fontId="18" fillId="0" borderId="0" xfId="1" applyNumberFormat="1" applyFont="1" applyAlignment="1">
      <alignment horizontal="center" vertical="center" wrapText="1"/>
    </xf>
    <xf numFmtId="0" fontId="22" fillId="0" borderId="0" xfId="1" applyFont="1" applyAlignment="1">
      <alignment vertical="center"/>
    </xf>
    <xf numFmtId="3" fontId="22" fillId="0" borderId="0" xfId="1" applyNumberFormat="1" applyFont="1" applyAlignment="1">
      <alignment horizontal="center" vertical="center" wrapText="1"/>
    </xf>
    <xf numFmtId="0" fontId="24" fillId="0" borderId="0" xfId="0" applyFont="1"/>
    <xf numFmtId="0" fontId="21" fillId="0" borderId="0" xfId="1" applyFont="1" applyAlignment="1">
      <alignment vertical="center"/>
    </xf>
    <xf numFmtId="3" fontId="14" fillId="0" borderId="1" xfId="2" applyNumberFormat="1" applyFont="1" applyBorder="1" applyAlignment="1" applyProtection="1">
      <alignment horizontal="right" vertical="center" wrapText="1"/>
    </xf>
    <xf numFmtId="49" fontId="15" fillId="0" borderId="1" xfId="0" quotePrefix="1" applyNumberFormat="1" applyFont="1" applyBorder="1" applyAlignment="1">
      <alignment horizontal="center" vertical="center"/>
    </xf>
    <xf numFmtId="3" fontId="16" fillId="0" borderId="0" xfId="1" applyNumberFormat="1" applyFont="1" applyAlignment="1">
      <alignment vertical="center"/>
    </xf>
    <xf numFmtId="3" fontId="14" fillId="0" borderId="1" xfId="2" applyNumberFormat="1" applyFont="1" applyBorder="1" applyAlignment="1">
      <alignment horizontal="right" vertical="center" wrapText="1"/>
    </xf>
    <xf numFmtId="3" fontId="14" fillId="0" borderId="1" xfId="2" applyNumberFormat="1" applyFont="1" applyBorder="1" applyAlignment="1">
      <alignment horizontal="right" vertical="center"/>
    </xf>
    <xf numFmtId="170" fontId="14" fillId="0" borderId="1" xfId="2" applyNumberFormat="1" applyFont="1" applyBorder="1" applyAlignment="1">
      <alignment horizontal="right" vertical="center"/>
    </xf>
    <xf numFmtId="0" fontId="14" fillId="0" borderId="1" xfId="2" applyNumberFormat="1" applyFont="1" applyBorder="1" applyAlignment="1">
      <alignment horizontal="center" vertical="center"/>
    </xf>
    <xf numFmtId="166" fontId="32" fillId="0" borderId="0" xfId="1" applyNumberFormat="1" applyFont="1" applyAlignment="1">
      <alignment vertical="center"/>
    </xf>
    <xf numFmtId="0" fontId="15" fillId="16" borderId="1" xfId="1" applyFont="1" applyFill="1" applyBorder="1" applyAlignment="1">
      <alignment vertical="center"/>
    </xf>
    <xf numFmtId="0" fontId="15" fillId="16" borderId="1" xfId="1" applyFont="1" applyFill="1" applyBorder="1" applyAlignment="1">
      <alignment vertical="center" wrapText="1"/>
    </xf>
    <xf numFmtId="167" fontId="15" fillId="16" borderId="1" xfId="2" applyNumberFormat="1" applyFont="1" applyFill="1" applyBorder="1" applyAlignment="1" applyProtection="1">
      <alignment vertical="center" wrapText="1"/>
    </xf>
    <xf numFmtId="0" fontId="15" fillId="18" borderId="1" xfId="2" applyNumberFormat="1" applyFont="1" applyFill="1" applyBorder="1" applyAlignment="1" applyProtection="1">
      <alignment vertical="center" wrapText="1"/>
    </xf>
    <xf numFmtId="166" fontId="15" fillId="12" borderId="1" xfId="2" applyNumberFormat="1" applyFont="1" applyFill="1" applyBorder="1" applyAlignment="1" applyProtection="1">
      <alignment vertical="center" wrapText="1"/>
    </xf>
    <xf numFmtId="3" fontId="15" fillId="4" borderId="1" xfId="2" applyNumberFormat="1" applyFont="1" applyFill="1" applyBorder="1" applyAlignment="1" applyProtection="1">
      <alignment vertical="center" wrapText="1"/>
    </xf>
    <xf numFmtId="3" fontId="15" fillId="14" borderId="1" xfId="2" applyNumberFormat="1" applyFont="1" applyFill="1" applyBorder="1" applyAlignment="1" applyProtection="1">
      <alignment vertical="center" wrapText="1"/>
    </xf>
    <xf numFmtId="3" fontId="15" fillId="7" borderId="1" xfId="2" applyNumberFormat="1" applyFont="1" applyFill="1" applyBorder="1" applyAlignment="1" applyProtection="1">
      <alignment vertical="center" wrapText="1"/>
    </xf>
    <xf numFmtId="3" fontId="15" fillId="17" borderId="1" xfId="1" applyNumberFormat="1" applyFont="1" applyFill="1" applyBorder="1" applyAlignment="1">
      <alignment vertical="center" wrapText="1"/>
    </xf>
    <xf numFmtId="0" fontId="17" fillId="0" borderId="1" xfId="1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16" borderId="1" xfId="1" applyFont="1" applyFill="1" applyBorder="1" applyAlignment="1">
      <alignment vertical="center" wrapText="1"/>
    </xf>
    <xf numFmtId="3" fontId="15" fillId="20" borderId="1" xfId="2" applyNumberFormat="1" applyFont="1" applyFill="1" applyBorder="1" applyAlignment="1" applyProtection="1">
      <alignment vertical="center" wrapText="1"/>
    </xf>
    <xf numFmtId="3" fontId="33" fillId="0" borderId="0" xfId="1" applyNumberFormat="1" applyFont="1" applyAlignment="1">
      <alignment vertical="center"/>
    </xf>
    <xf numFmtId="0" fontId="35" fillId="0" borderId="0" xfId="1" applyFont="1" applyAlignment="1">
      <alignment vertical="center"/>
    </xf>
    <xf numFmtId="43" fontId="14" fillId="0" borderId="1" xfId="6" applyFont="1" applyBorder="1" applyAlignment="1" applyProtection="1">
      <alignment horizontal="right" vertical="center"/>
    </xf>
    <xf numFmtId="168" fontId="15" fillId="5" borderId="1" xfId="3" applyNumberFormat="1" applyFont="1" applyFill="1" applyBorder="1" applyAlignment="1" applyProtection="1">
      <alignment vertical="center" wrapText="1"/>
    </xf>
    <xf numFmtId="3" fontId="14" fillId="0" borderId="5" xfId="2" applyNumberFormat="1" applyFont="1" applyBorder="1" applyAlignment="1" applyProtection="1">
      <alignment horizontal="right" vertical="center"/>
    </xf>
    <xf numFmtId="3" fontId="14" fillId="0" borderId="6" xfId="2" applyNumberFormat="1" applyFont="1" applyBorder="1" applyAlignment="1" applyProtection="1">
      <alignment horizontal="right" vertical="center"/>
    </xf>
    <xf numFmtId="3" fontId="14" fillId="0" borderId="3" xfId="2" applyNumberFormat="1" applyFont="1" applyBorder="1" applyAlignment="1" applyProtection="1">
      <alignment horizontal="right" vertical="center"/>
    </xf>
    <xf numFmtId="166" fontId="14" fillId="0" borderId="0" xfId="1" applyNumberFormat="1" applyFont="1" applyAlignment="1">
      <alignment vertical="center"/>
    </xf>
    <xf numFmtId="3" fontId="14" fillId="6" borderId="1" xfId="2" applyNumberFormat="1" applyFont="1" applyFill="1" applyBorder="1" applyAlignment="1" applyProtection="1">
      <alignment vertical="center" wrapText="1"/>
    </xf>
    <xf numFmtId="3" fontId="21" fillId="0" borderId="0" xfId="1" applyNumberFormat="1" applyFont="1" applyAlignment="1">
      <alignment horizontal="right" vertical="center"/>
    </xf>
    <xf numFmtId="167" fontId="17" fillId="16" borderId="1" xfId="2" applyNumberFormat="1" applyFont="1" applyFill="1" applyBorder="1" applyAlignment="1" applyProtection="1">
      <alignment vertical="center"/>
    </xf>
    <xf numFmtId="165" fontId="38" fillId="0" borderId="1" xfId="2" applyNumberFormat="1" applyFont="1" applyBorder="1" applyAlignment="1" applyProtection="1">
      <alignment vertical="center"/>
    </xf>
    <xf numFmtId="165" fontId="38" fillId="0" borderId="1" xfId="2" applyNumberFormat="1" applyFont="1" applyBorder="1" applyAlignment="1">
      <alignment vertical="center"/>
    </xf>
    <xf numFmtId="165" fontId="15" fillId="0" borderId="1" xfId="2" applyNumberFormat="1" applyFont="1" applyBorder="1" applyAlignment="1" applyProtection="1">
      <alignment vertical="center"/>
    </xf>
    <xf numFmtId="0" fontId="14" fillId="11" borderId="1" xfId="1" applyFont="1" applyFill="1" applyBorder="1" applyAlignment="1">
      <alignment horizontal="center" vertical="center" wrapText="1"/>
    </xf>
    <xf numFmtId="3" fontId="16" fillId="8" borderId="1" xfId="1" applyNumberFormat="1" applyFont="1" applyFill="1" applyBorder="1" applyAlignment="1">
      <alignment horizontal="right" vertical="center"/>
    </xf>
    <xf numFmtId="166" fontId="21" fillId="0" borderId="0" xfId="1" applyNumberFormat="1" applyFont="1" applyAlignment="1">
      <alignment horizontal="right" vertical="center"/>
    </xf>
    <xf numFmtId="165" fontId="15" fillId="0" borderId="1" xfId="2" applyNumberFormat="1" applyFont="1" applyBorder="1" applyAlignment="1">
      <alignment vertical="center"/>
    </xf>
    <xf numFmtId="170" fontId="15" fillId="2" borderId="1" xfId="1" applyNumberFormat="1" applyFont="1" applyFill="1" applyBorder="1" applyAlignment="1">
      <alignment horizontal="center" vertical="center"/>
    </xf>
    <xf numFmtId="166" fontId="15" fillId="10" borderId="1" xfId="2" applyNumberFormat="1" applyFont="1" applyFill="1" applyBorder="1" applyAlignment="1" applyProtection="1">
      <alignment horizontal="center" vertical="center" wrapText="1"/>
    </xf>
    <xf numFmtId="0" fontId="15" fillId="9" borderId="1" xfId="1" applyFont="1" applyFill="1" applyBorder="1" applyAlignment="1">
      <alignment horizontal="center" vertical="center"/>
    </xf>
    <xf numFmtId="170" fontId="15" fillId="2" borderId="1" xfId="2" applyNumberFormat="1" applyFont="1" applyFill="1" applyBorder="1" applyAlignment="1" applyProtection="1">
      <alignment horizontal="center" vertical="center" wrapText="1"/>
    </xf>
    <xf numFmtId="170" fontId="15" fillId="3" borderId="1" xfId="2" applyNumberFormat="1" applyFont="1" applyFill="1" applyBorder="1" applyAlignment="1" applyProtection="1">
      <alignment horizontal="center" vertical="center" wrapText="1"/>
    </xf>
    <xf numFmtId="170" fontId="15" fillId="2" borderId="1" xfId="1" applyNumberFormat="1" applyFont="1" applyFill="1" applyBorder="1" applyAlignment="1">
      <alignment horizontal="center" vertical="center" wrapText="1"/>
    </xf>
    <xf numFmtId="0" fontId="15" fillId="16" borderId="1" xfId="1" applyFont="1" applyFill="1" applyBorder="1" applyAlignment="1">
      <alignment horizontal="center" vertical="center" wrapText="1"/>
    </xf>
    <xf numFmtId="0" fontId="15" fillId="16" borderId="1" xfId="1" applyFont="1" applyFill="1" applyBorder="1" applyAlignment="1">
      <alignment horizontal="center" vertical="center"/>
    </xf>
    <xf numFmtId="9" fontId="15" fillId="13" borderId="1" xfId="2" quotePrefix="1" applyNumberFormat="1" applyFont="1" applyFill="1" applyBorder="1" applyAlignment="1" applyProtection="1">
      <alignment horizontal="center" vertical="center" wrapText="1"/>
    </xf>
    <xf numFmtId="166" fontId="17" fillId="8" borderId="1" xfId="1" applyNumberFormat="1" applyFont="1" applyFill="1" applyBorder="1" applyAlignment="1">
      <alignment horizontal="center" vertical="center"/>
    </xf>
    <xf numFmtId="3" fontId="15" fillId="17" borderId="1" xfId="1" applyNumberFormat="1" applyFont="1" applyFill="1" applyBorder="1" applyAlignment="1">
      <alignment horizontal="center" vertical="center" wrapText="1"/>
    </xf>
    <xf numFmtId="167" fontId="15" fillId="16" borderId="1" xfId="2" applyNumberFormat="1" applyFont="1" applyFill="1" applyBorder="1" applyAlignment="1" applyProtection="1">
      <alignment horizontal="center" vertical="center" wrapText="1"/>
    </xf>
    <xf numFmtId="167" fontId="17" fillId="16" borderId="1" xfId="2" applyNumberFormat="1" applyFont="1" applyFill="1" applyBorder="1" applyAlignment="1" applyProtection="1">
      <alignment vertical="center"/>
    </xf>
    <xf numFmtId="0" fontId="15" fillId="18" borderId="1" xfId="2" applyNumberFormat="1" applyFont="1" applyFill="1" applyBorder="1" applyAlignment="1" applyProtection="1">
      <alignment horizontal="center" vertical="center" wrapText="1"/>
    </xf>
    <xf numFmtId="0" fontId="15" fillId="11" borderId="1" xfId="1" applyFont="1" applyFill="1" applyBorder="1" applyAlignment="1">
      <alignment horizontal="center" vertical="center" wrapText="1"/>
    </xf>
    <xf numFmtId="166" fontId="15" fillId="12" borderId="1" xfId="2" applyNumberFormat="1" applyFont="1" applyFill="1" applyBorder="1" applyAlignment="1" applyProtection="1">
      <alignment horizontal="center" vertical="center" wrapText="1"/>
    </xf>
    <xf numFmtId="3" fontId="15" fillId="4" borderId="1" xfId="2" applyNumberFormat="1" applyFont="1" applyFill="1" applyBorder="1" applyAlignment="1" applyProtection="1">
      <alignment horizontal="center" vertical="center" wrapText="1"/>
    </xf>
    <xf numFmtId="168" fontId="15" fillId="5" borderId="1" xfId="3" applyNumberFormat="1" applyFont="1" applyFill="1" applyBorder="1" applyAlignment="1" applyProtection="1">
      <alignment horizontal="center" vertical="center" wrapText="1"/>
    </xf>
    <xf numFmtId="3" fontId="15" fillId="14" borderId="1" xfId="2" applyNumberFormat="1" applyFont="1" applyFill="1" applyBorder="1" applyAlignment="1" applyProtection="1">
      <alignment horizontal="center" vertical="center" wrapText="1"/>
    </xf>
    <xf numFmtId="3" fontId="15" fillId="6" borderId="1" xfId="2" applyNumberFormat="1" applyFont="1" applyFill="1" applyBorder="1" applyAlignment="1" applyProtection="1">
      <alignment horizontal="center" vertical="center" wrapText="1"/>
    </xf>
    <xf numFmtId="9" fontId="15" fillId="15" borderId="1" xfId="2" quotePrefix="1" applyNumberFormat="1" applyFont="1" applyFill="1" applyBorder="1" applyAlignment="1" applyProtection="1">
      <alignment horizontal="center" vertical="center" wrapText="1"/>
    </xf>
    <xf numFmtId="166" fontId="15" fillId="13" borderId="1" xfId="2" applyNumberFormat="1" applyFont="1" applyFill="1" applyBorder="1" applyAlignment="1" applyProtection="1">
      <alignment horizontal="center" vertical="center" wrapText="1"/>
    </xf>
    <xf numFmtId="3" fontId="15" fillId="7" borderId="1" xfId="2" applyNumberFormat="1" applyFont="1" applyFill="1" applyBorder="1" applyAlignment="1" applyProtection="1">
      <alignment horizontal="center" vertical="center" wrapText="1"/>
    </xf>
    <xf numFmtId="166" fontId="15" fillId="19" borderId="1" xfId="7" applyNumberFormat="1" applyFont="1" applyBorder="1" applyAlignment="1" applyProtection="1">
      <alignment horizontal="center" vertical="center" wrapText="1"/>
    </xf>
    <xf numFmtId="3" fontId="15" fillId="20" borderId="3" xfId="2" applyNumberFormat="1" applyFont="1" applyFill="1" applyBorder="1" applyAlignment="1" applyProtection="1">
      <alignment horizontal="center" vertical="center" wrapText="1"/>
    </xf>
    <xf numFmtId="3" fontId="15" fillId="20" borderId="4" xfId="2" applyNumberFormat="1" applyFont="1" applyFill="1" applyBorder="1" applyAlignment="1" applyProtection="1">
      <alignment horizontal="center" vertical="center" wrapText="1"/>
    </xf>
    <xf numFmtId="166" fontId="32" fillId="0" borderId="7" xfId="1" applyNumberFormat="1" applyFont="1" applyBorder="1" applyAlignment="1">
      <alignment horizontal="centerContinuous" vertical="center"/>
    </xf>
    <xf numFmtId="166" fontId="34" fillId="0" borderId="7" xfId="1" applyNumberFormat="1" applyFont="1" applyBorder="1" applyAlignment="1">
      <alignment horizontal="centerContinuous" vertical="center"/>
    </xf>
    <xf numFmtId="0" fontId="15" fillId="0" borderId="0" xfId="1" applyFont="1" applyAlignment="1">
      <alignment vertical="center" shrinkToFit="1"/>
    </xf>
    <xf numFmtId="0" fontId="17" fillId="0" borderId="0" xfId="1" applyFont="1" applyAlignment="1">
      <alignment vertical="center" shrinkToFit="1"/>
    </xf>
    <xf numFmtId="167" fontId="15" fillId="16" borderId="1" xfId="2" applyNumberFormat="1" applyFont="1" applyFill="1" applyBorder="1" applyAlignment="1">
      <alignment vertical="center" wrapText="1"/>
    </xf>
    <xf numFmtId="167" fontId="15" fillId="16" borderId="1" xfId="2" applyNumberFormat="1" applyFont="1" applyFill="1" applyBorder="1" applyAlignment="1">
      <alignment vertical="center" shrinkToFit="1"/>
    </xf>
    <xf numFmtId="167" fontId="17" fillId="16" borderId="1" xfId="2" applyNumberFormat="1" applyFont="1" applyFill="1" applyBorder="1" applyAlignment="1">
      <alignment vertical="center" shrinkToFit="1"/>
    </xf>
    <xf numFmtId="0" fontId="15" fillId="18" borderId="1" xfId="2" applyNumberFormat="1" applyFont="1" applyFill="1" applyBorder="1" applyAlignment="1">
      <alignment vertical="center" wrapText="1"/>
    </xf>
    <xf numFmtId="0" fontId="15" fillId="9" borderId="1" xfId="1" applyFont="1" applyFill="1" applyBorder="1" applyAlignment="1">
      <alignment horizontal="centerContinuous" vertical="center"/>
    </xf>
    <xf numFmtId="170" fontId="15" fillId="2" borderId="1" xfId="1" applyNumberFormat="1" applyFont="1" applyFill="1" applyBorder="1" applyAlignment="1">
      <alignment horizontal="centerContinuous" vertical="center"/>
    </xf>
    <xf numFmtId="166" fontId="15" fillId="13" borderId="1" xfId="2" applyNumberFormat="1" applyFont="1" applyFill="1" applyBorder="1" applyAlignment="1">
      <alignment horizontal="centerContinuous" vertical="center" wrapText="1"/>
    </xf>
    <xf numFmtId="166" fontId="15" fillId="12" borderId="1" xfId="2" applyNumberFormat="1" applyFont="1" applyFill="1" applyBorder="1" applyAlignment="1">
      <alignment vertical="center" wrapText="1"/>
    </xf>
    <xf numFmtId="166" fontId="15" fillId="19" borderId="1" xfId="7" applyNumberFormat="1" applyFont="1" applyBorder="1" applyAlignment="1">
      <alignment horizontal="centerContinuous" vertical="center" wrapText="1"/>
    </xf>
    <xf numFmtId="166" fontId="15" fillId="21" borderId="1" xfId="7" applyNumberFormat="1" applyFont="1" applyFill="1" applyBorder="1" applyAlignment="1">
      <alignment horizontal="centerContinuous" vertical="center" wrapText="1"/>
    </xf>
    <xf numFmtId="3" fontId="15" fillId="22" borderId="1" xfId="2" applyNumberFormat="1" applyFont="1" applyFill="1" applyBorder="1" applyAlignment="1">
      <alignment vertical="center" wrapText="1"/>
    </xf>
    <xf numFmtId="3" fontId="15" fillId="20" borderId="1" xfId="2" applyNumberFormat="1" applyFont="1" applyFill="1" applyBorder="1" applyAlignment="1">
      <alignment vertical="center" wrapText="1"/>
    </xf>
    <xf numFmtId="168" fontId="15" fillId="5" borderId="1" xfId="3" applyNumberFormat="1" applyFont="1" applyFill="1" applyBorder="1" applyAlignment="1">
      <alignment vertical="center" wrapText="1"/>
    </xf>
    <xf numFmtId="168" fontId="15" fillId="23" borderId="1" xfId="3" applyNumberFormat="1" applyFont="1" applyFill="1" applyBorder="1" applyAlignment="1">
      <alignment vertical="center" wrapText="1"/>
    </xf>
    <xf numFmtId="168" fontId="14" fillId="24" borderId="1" xfId="3" applyNumberFormat="1" applyFont="1" applyFill="1" applyBorder="1" applyAlignment="1">
      <alignment vertical="center" wrapText="1"/>
    </xf>
    <xf numFmtId="3" fontId="15" fillId="14" borderId="1" xfId="2" applyNumberFormat="1" applyFont="1" applyFill="1" applyBorder="1" applyAlignment="1">
      <alignment vertical="center" wrapText="1"/>
    </xf>
    <xf numFmtId="3" fontId="14" fillId="6" borderId="1" xfId="2" applyNumberFormat="1" applyFont="1" applyFill="1" applyBorder="1" applyAlignment="1">
      <alignment vertical="center" wrapText="1"/>
    </xf>
    <xf numFmtId="3" fontId="15" fillId="7" borderId="1" xfId="2" applyNumberFormat="1" applyFont="1" applyFill="1" applyBorder="1" applyAlignment="1">
      <alignment vertical="center" wrapText="1"/>
    </xf>
    <xf numFmtId="0" fontId="14" fillId="16" borderId="1" xfId="1" applyFont="1" applyFill="1" applyBorder="1" applyAlignment="1">
      <alignment horizontal="center" vertical="center" wrapText="1"/>
    </xf>
    <xf numFmtId="167" fontId="15" fillId="16" borderId="1" xfId="2" applyNumberFormat="1" applyFont="1" applyFill="1" applyBorder="1" applyAlignment="1">
      <alignment horizontal="center" vertical="center" wrapText="1"/>
    </xf>
    <xf numFmtId="167" fontId="15" fillId="16" borderId="1" xfId="2" applyNumberFormat="1" applyFont="1" applyFill="1" applyBorder="1" applyAlignment="1">
      <alignment horizontal="center" vertical="center" shrinkToFit="1"/>
    </xf>
    <xf numFmtId="167" fontId="17" fillId="16" borderId="1" xfId="2" applyNumberFormat="1" applyFont="1" applyFill="1" applyBorder="1" applyAlignment="1">
      <alignment vertical="center" shrinkToFit="1"/>
    </xf>
    <xf numFmtId="0" fontId="15" fillId="18" borderId="1" xfId="2" applyNumberFormat="1" applyFont="1" applyFill="1" applyBorder="1" applyAlignment="1">
      <alignment horizontal="center" vertical="center" wrapText="1"/>
    </xf>
    <xf numFmtId="166" fontId="15" fillId="10" borderId="1" xfId="2" applyNumberFormat="1" applyFont="1" applyFill="1" applyBorder="1" applyAlignment="1">
      <alignment horizontal="center" vertical="center" wrapText="1"/>
    </xf>
    <xf numFmtId="170" fontId="15" fillId="2" borderId="1" xfId="2" applyNumberFormat="1" applyFont="1" applyFill="1" applyBorder="1" applyAlignment="1">
      <alignment horizontal="center" vertical="center" wrapText="1"/>
    </xf>
    <xf numFmtId="170" fontId="15" fillId="3" borderId="1" xfId="2" applyNumberFormat="1" applyFont="1" applyFill="1" applyBorder="1" applyAlignment="1">
      <alignment horizontal="center" vertical="center" wrapText="1"/>
    </xf>
    <xf numFmtId="9" fontId="15" fillId="13" borderId="1" xfId="2" quotePrefix="1" applyNumberFormat="1" applyFont="1" applyFill="1" applyBorder="1" applyAlignment="1">
      <alignment horizontal="center" vertical="center" wrapText="1"/>
    </xf>
    <xf numFmtId="166" fontId="15" fillId="12" borderId="1" xfId="2" applyNumberFormat="1" applyFont="1" applyFill="1" applyBorder="1" applyAlignment="1">
      <alignment horizontal="center" vertical="center" wrapText="1"/>
    </xf>
    <xf numFmtId="9" fontId="15" fillId="15" borderId="1" xfId="2" quotePrefix="1" applyNumberFormat="1" applyFont="1" applyFill="1" applyBorder="1" applyAlignment="1">
      <alignment horizontal="center" vertical="center" wrapText="1"/>
    </xf>
    <xf numFmtId="9" fontId="15" fillId="25" borderId="3" xfId="2" quotePrefix="1" applyNumberFormat="1" applyFont="1" applyFill="1" applyBorder="1" applyAlignment="1">
      <alignment horizontal="center" vertical="center" wrapText="1"/>
    </xf>
    <xf numFmtId="3" fontId="15" fillId="22" borderId="1" xfId="2" applyNumberFormat="1" applyFont="1" applyFill="1" applyBorder="1" applyAlignment="1">
      <alignment horizontal="center" vertical="center" wrapText="1"/>
    </xf>
    <xf numFmtId="3" fontId="15" fillId="20" borderId="3" xfId="2" applyNumberFormat="1" applyFont="1" applyFill="1" applyBorder="1" applyAlignment="1">
      <alignment horizontal="center" vertical="center" wrapText="1"/>
    </xf>
    <xf numFmtId="168" fontId="15" fillId="5" borderId="1" xfId="3" applyNumberFormat="1" applyFont="1" applyFill="1" applyBorder="1" applyAlignment="1">
      <alignment horizontal="center" vertical="center" wrapText="1"/>
    </xf>
    <xf numFmtId="168" fontId="15" fillId="23" borderId="3" xfId="3" applyNumberFormat="1" applyFont="1" applyFill="1" applyBorder="1" applyAlignment="1">
      <alignment horizontal="center" vertical="center" wrapText="1"/>
    </xf>
    <xf numFmtId="168" fontId="14" fillId="24" borderId="3" xfId="3" applyNumberFormat="1" applyFont="1" applyFill="1" applyBorder="1" applyAlignment="1">
      <alignment horizontal="center" vertical="center" wrapText="1"/>
    </xf>
    <xf numFmtId="3" fontId="15" fillId="14" borderId="1" xfId="2" applyNumberFormat="1" applyFont="1" applyFill="1" applyBorder="1" applyAlignment="1">
      <alignment horizontal="center" vertical="center" wrapText="1"/>
    </xf>
    <xf numFmtId="3" fontId="15" fillId="6" borderId="1" xfId="2" applyNumberFormat="1" applyFont="1" applyFill="1" applyBorder="1" applyAlignment="1">
      <alignment horizontal="center" vertical="center" wrapText="1"/>
    </xf>
    <xf numFmtId="3" fontId="15" fillId="7" borderId="1" xfId="2" applyNumberFormat="1" applyFont="1" applyFill="1" applyBorder="1" applyAlignment="1">
      <alignment horizontal="center" vertical="center" wrapText="1"/>
    </xf>
    <xf numFmtId="9" fontId="15" fillId="25" borderId="4" xfId="2" quotePrefix="1" applyNumberFormat="1" applyFont="1" applyFill="1" applyBorder="1" applyAlignment="1">
      <alignment horizontal="center" vertical="center" wrapText="1"/>
    </xf>
    <xf numFmtId="3" fontId="15" fillId="20" borderId="4" xfId="2" applyNumberFormat="1" applyFont="1" applyFill="1" applyBorder="1" applyAlignment="1">
      <alignment horizontal="center" vertical="center" wrapText="1"/>
    </xf>
    <xf numFmtId="168" fontId="15" fillId="23" borderId="4" xfId="3" applyNumberFormat="1" applyFont="1" applyFill="1" applyBorder="1" applyAlignment="1">
      <alignment horizontal="center" vertical="center" wrapText="1"/>
    </xf>
    <xf numFmtId="168" fontId="14" fillId="24" borderId="4" xfId="3" applyNumberFormat="1" applyFont="1" applyFill="1" applyBorder="1" applyAlignment="1">
      <alignment horizontal="center" vertical="center" wrapText="1"/>
    </xf>
    <xf numFmtId="165" fontId="38" fillId="0" borderId="1" xfId="2" applyNumberFormat="1" applyFont="1" applyBorder="1" applyAlignment="1">
      <alignment vertical="center" shrinkToFit="1"/>
    </xf>
    <xf numFmtId="43" fontId="14" fillId="0" borderId="1" xfId="16" applyFont="1" applyBorder="1" applyAlignment="1">
      <alignment horizontal="right" vertical="center"/>
    </xf>
    <xf numFmtId="3" fontId="15" fillId="0" borderId="1" xfId="2" applyNumberFormat="1" applyFont="1" applyBorder="1" applyAlignment="1">
      <alignment horizontal="right" vertical="center"/>
    </xf>
    <xf numFmtId="3" fontId="14" fillId="0" borderId="6" xfId="2" applyNumberFormat="1" applyFont="1" applyBorder="1" applyAlignment="1">
      <alignment horizontal="right" vertical="center"/>
    </xf>
    <xf numFmtId="3" fontId="14" fillId="0" borderId="5" xfId="2" applyNumberFormat="1" applyFont="1" applyBorder="1" applyAlignment="1">
      <alignment horizontal="right" vertical="center"/>
    </xf>
    <xf numFmtId="169" fontId="14" fillId="0" borderId="1" xfId="16" applyNumberFormat="1" applyFont="1" applyBorder="1" applyAlignment="1">
      <alignment horizontal="right" vertical="center"/>
    </xf>
    <xf numFmtId="3" fontId="14" fillId="0" borderId="3" xfId="2" applyNumberFormat="1" applyFont="1" applyBorder="1" applyAlignment="1">
      <alignment horizontal="right" vertical="center"/>
    </xf>
    <xf numFmtId="0" fontId="17" fillId="0" borderId="0" xfId="1" applyFont="1" applyAlignment="1">
      <alignment horizontal="center" vertical="center"/>
    </xf>
    <xf numFmtId="0" fontId="21" fillId="0" borderId="0" xfId="1" applyFont="1" applyAlignment="1">
      <alignment vertical="center" shrinkToFit="1"/>
    </xf>
    <xf numFmtId="0" fontId="16" fillId="0" borderId="0" xfId="1" applyFont="1" applyAlignment="1">
      <alignment vertical="center" shrinkToFit="1"/>
    </xf>
  </cellXfs>
  <cellStyles count="55">
    <cellStyle name="Comma" xfId="6" builtinId="3"/>
    <cellStyle name="Comma [0] 2" xfId="24" xr:uid="{00000000-0005-0000-0000-000001000000}"/>
    <cellStyle name="Comma [0] 3" xfId="25" xr:uid="{00000000-0005-0000-0000-000002000000}"/>
    <cellStyle name="Comma [0] 4" xfId="20" xr:uid="{00000000-0005-0000-0000-000003000000}"/>
    <cellStyle name="Comma [0] 5" xfId="37" xr:uid="{00000000-0005-0000-0000-000004000000}"/>
    <cellStyle name="Comma [0] 6" xfId="49" xr:uid="{C662B7AB-78D0-485D-A04C-9DAEFCBCF3ED}"/>
    <cellStyle name="Comma 10" xfId="2" xr:uid="{00000000-0005-0000-0000-000005000000}"/>
    <cellStyle name="Comma 11" xfId="28" xr:uid="{00000000-0005-0000-0000-000006000000}"/>
    <cellStyle name="Comma 11 2" xfId="54" xr:uid="{E2D666FE-5C42-45BB-9982-BB923A5EC171}"/>
    <cellStyle name="Comma 12" xfId="12" xr:uid="{00000000-0005-0000-0000-000007000000}"/>
    <cellStyle name="Comma 13" xfId="26" xr:uid="{00000000-0005-0000-0000-000008000000}"/>
    <cellStyle name="Comma 14" xfId="30" xr:uid="{00000000-0005-0000-0000-000009000000}"/>
    <cellStyle name="Comma 15" xfId="34" xr:uid="{00000000-0005-0000-0000-00000A000000}"/>
    <cellStyle name="Comma 16" xfId="39" xr:uid="{94DDC87F-0C96-4C92-B5C7-95734345414B}"/>
    <cellStyle name="Comma 17" xfId="43" xr:uid="{6DF320DA-6D18-4588-BCAD-2137D9EFF6BB}"/>
    <cellStyle name="Comma 17 2" xfId="51" xr:uid="{C1E84266-8CA3-48F2-A9F6-DF77663AB20C}"/>
    <cellStyle name="Comma 18" xfId="45" xr:uid="{340EF090-40D6-45EF-8392-79E069EA809A}"/>
    <cellStyle name="Comma 19" xfId="46" xr:uid="{7D81367D-7BCD-43CB-BC18-0867BABCBE7A}"/>
    <cellStyle name="Comma 2" xfId="3" xr:uid="{00000000-0005-0000-0000-00000B000000}"/>
    <cellStyle name="Comma 2 2" xfId="16" xr:uid="{00000000-0005-0000-0000-00000C000000}"/>
    <cellStyle name="Comma 20" xfId="52" xr:uid="{DF3BFD31-203A-4E20-8CA1-DE37A65145AE}"/>
    <cellStyle name="Comma 3" xfId="10" xr:uid="{00000000-0005-0000-0000-00000D000000}"/>
    <cellStyle name="Comma 4" xfId="13" xr:uid="{00000000-0005-0000-0000-00000E000000}"/>
    <cellStyle name="Comma 5" xfId="17" xr:uid="{00000000-0005-0000-0000-00000F000000}"/>
    <cellStyle name="Comma 6" xfId="31" xr:uid="{00000000-0005-0000-0000-000010000000}"/>
    <cellStyle name="Comma 7" xfId="32" xr:uid="{00000000-0005-0000-0000-000011000000}"/>
    <cellStyle name="Comma 8" xfId="29" xr:uid="{00000000-0005-0000-0000-000012000000}"/>
    <cellStyle name="Comma 9" xfId="27" xr:uid="{00000000-0005-0000-0000-000013000000}"/>
    <cellStyle name="Hyperlink 2" xfId="47" xr:uid="{D0E088DF-4FCE-490D-B0A2-CB408D55CFCF}"/>
    <cellStyle name="Neutral" xfId="7" builtinId="28"/>
    <cellStyle name="Normal" xfId="0" builtinId="0"/>
    <cellStyle name="Normal 10" xfId="1" xr:uid="{00000000-0005-0000-0000-000016000000}"/>
    <cellStyle name="Normal 11" xfId="42" xr:uid="{57F8D65B-11FE-4706-9422-E26CF4BB1FC4}"/>
    <cellStyle name="Normal 11 2" xfId="50" xr:uid="{195B919C-14D5-46B2-B86E-D35A81DB4C65}"/>
    <cellStyle name="Normal 12" xfId="44" xr:uid="{4A66F9B4-196D-4B5D-86C5-5268C5BC6DC6}"/>
    <cellStyle name="Normal 2" xfId="4" xr:uid="{00000000-0005-0000-0000-000017000000}"/>
    <cellStyle name="Normal 2 2" xfId="15" xr:uid="{00000000-0005-0000-0000-000018000000}"/>
    <cellStyle name="Normal 3" xfId="8" xr:uid="{00000000-0005-0000-0000-000019000000}"/>
    <cellStyle name="Normal 3 2" xfId="18" xr:uid="{00000000-0005-0000-0000-00001A000000}"/>
    <cellStyle name="Normal 4" xfId="19" xr:uid="{00000000-0005-0000-0000-00001B000000}"/>
    <cellStyle name="Normal 4 2" xfId="22" xr:uid="{00000000-0005-0000-0000-00001C000000}"/>
    <cellStyle name="Normal 47 2 2 2 2 2 2 2" xfId="5" xr:uid="{00000000-0005-0000-0000-00001D000000}"/>
    <cellStyle name="Normal 47 2 2 2 2 2 2 2 2" xfId="9" xr:uid="{00000000-0005-0000-0000-00001E000000}"/>
    <cellStyle name="Normal 47 2 2 2 2 2 2 2 3" xfId="53" xr:uid="{25021F1D-6214-474F-AAF2-94DD52C763DF}"/>
    <cellStyle name="Normal 5" xfId="11" xr:uid="{00000000-0005-0000-0000-00001F000000}"/>
    <cellStyle name="Normal 5 2" xfId="21" xr:uid="{00000000-0005-0000-0000-000020000000}"/>
    <cellStyle name="Normal 5 3" xfId="48" xr:uid="{DAB4475D-52AD-41DD-83B1-8F47A4E11CDD}"/>
    <cellStyle name="Normal 6" xfId="33" xr:uid="{00000000-0005-0000-0000-000021000000}"/>
    <cellStyle name="Normal 7" xfId="36" xr:uid="{00000000-0005-0000-0000-000022000000}"/>
    <cellStyle name="Normal 8" xfId="38" xr:uid="{810BABB9-6069-41A0-8976-F845781F1825}"/>
    <cellStyle name="Normal 9" xfId="40" xr:uid="{026A3DD8-0795-4F5C-930B-2A7CA308D288}"/>
    <cellStyle name="Percent 2" xfId="23" xr:uid="{00000000-0005-0000-0000-000023000000}"/>
    <cellStyle name="Percent 3" xfId="41" xr:uid="{E8B67712-0647-4050-91B7-73485471E229}"/>
    <cellStyle name="Total 2" xfId="14" xr:uid="{00000000-0005-0000-0000-000024000000}"/>
    <cellStyle name="Total 3" xfId="35" xr:uid="{00000000-0005-0000-0000-000025000000}"/>
  </cellStyles>
  <dxfs count="20">
    <dxf>
      <font>
        <color rgb="FF9C0006"/>
      </font>
      <fill>
        <patternFill>
          <bgColor rgb="FFFFC7CE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93CDDD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93CDDD"/>
        </patternFill>
      </fill>
    </dxf>
  </dxfs>
  <tableStyles count="0" defaultTableStyle="TableStyleMedium2" defaultPivotStyle="PivotStyleLight16"/>
  <colors>
    <mruColors>
      <color rgb="FF4593D3"/>
      <color rgb="FFFFCC66"/>
      <color rgb="FFFFFF99"/>
      <color rgb="FF66FF33"/>
      <color rgb="FFFFFF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.%20HR\13.%20Salary_Luong\SALARY%202020\L&#432;&#417;ng%20th&#225;ng%207.2020\Users\QBAH4\Downloads\FileImport-BkavIVAN-(BTF.v300)_HN0_173415_8557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.%20HR\13.%20Salary_Luong\SALARY%202020\L&#432;&#417;ng%20th&#225;ng%207.2020\03-Thue%20TNCN\04-Quyet%20toan%20thue\2014-Quyet%20toan%20thue%20TNCN\2014-PCM1\Bang_Ke_05_3_PCM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-7040/Desktop/L&#432;&#417;ng%2020251205/BANG%20LUONG%20LEONARDO%2002.2026%20%20C%20D&#432;&#417;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h Sách Lao Động"/>
      <sheetName val="Phụ lục thành viên Hộ gia đình"/>
      <sheetName val="BkavID"/>
      <sheetName val="DM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-3BK-TNCN"/>
      <sheetName val="Data"/>
      <sheetName val="HDSD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NG HỢP"/>
      <sheetName val="BẢNG LƯƠNG TỔNG"/>
      <sheetName val="Văn phòng"/>
      <sheetName val="Biên Hoà"/>
      <sheetName val="Hoàn BHXH + tiền"/>
      <sheetName val="Tax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</sheetPr>
  <dimension ref="A1:ALH308"/>
  <sheetViews>
    <sheetView showZeros="0" zoomScale="130" zoomScaleNormal="130" zoomScaleSheetLayoutView="100" workbookViewId="0">
      <pane xSplit="3" ySplit="4" topLeftCell="Y5" activePane="bottomRight" state="frozen"/>
      <selection pane="topRight" activeCell="D1" sqref="D1"/>
      <selection pane="bottomLeft" activeCell="A5" sqref="A5"/>
      <selection pane="bottomRight" activeCell="F34" sqref="F34"/>
    </sheetView>
  </sheetViews>
  <sheetFormatPr defaultColWidth="9.140625" defaultRowHeight="15"/>
  <cols>
    <col min="1" max="1" width="6.28515625" style="22" customWidth="1"/>
    <col min="2" max="2" width="6.140625" style="22" bestFit="1" customWidth="1"/>
    <col min="3" max="3" width="21.42578125" style="8" customWidth="1"/>
    <col min="4" max="4" width="8.7109375" style="34" customWidth="1"/>
    <col min="5" max="5" width="12.28515625" style="34" customWidth="1"/>
    <col min="6" max="6" width="15.5703125" style="15" customWidth="1"/>
    <col min="7" max="7" width="6.42578125" style="23" customWidth="1"/>
    <col min="8" max="8" width="10.28515625" style="24" customWidth="1"/>
    <col min="9" max="9" width="9.42578125" style="24" customWidth="1"/>
    <col min="10" max="10" width="6.85546875" style="24" customWidth="1"/>
    <col min="11" max="11" width="6.85546875" style="25" customWidth="1"/>
    <col min="12" max="12" width="7.42578125" style="26" customWidth="1"/>
    <col min="13" max="13" width="7.140625" style="26" customWidth="1"/>
    <col min="14" max="14" width="8.7109375" style="26" customWidth="1"/>
    <col min="15" max="15" width="10.42578125" style="72" customWidth="1"/>
    <col min="16" max="16" width="9.140625" style="24" customWidth="1"/>
    <col min="17" max="17" width="8.85546875" style="24" customWidth="1"/>
    <col min="18" max="18" width="8.42578125" style="24" customWidth="1"/>
    <col min="19" max="19" width="9.140625" style="24" customWidth="1"/>
    <col min="20" max="20" width="13.5703125" style="24" customWidth="1"/>
    <col min="21" max="21" width="12.5703125" style="24" bestFit="1" customWidth="1"/>
    <col min="22" max="22" width="13.140625" style="24" customWidth="1"/>
    <col min="23" max="23" width="9" style="24" customWidth="1"/>
    <col min="24" max="24" width="9.85546875" style="24" customWidth="1"/>
    <col min="25" max="25" width="8.7109375" style="24" customWidth="1"/>
    <col min="26" max="26" width="9.140625" style="24" customWidth="1"/>
    <col min="27" max="27" width="11.7109375" style="24" customWidth="1"/>
    <col min="28" max="28" width="10" style="24" customWidth="1"/>
    <col min="29" max="29" width="9" style="24" customWidth="1"/>
    <col min="30" max="31" width="10.85546875" style="27" customWidth="1"/>
    <col min="32" max="32" width="11.7109375" style="28" customWidth="1"/>
    <col min="33" max="33" width="9.85546875" style="27" customWidth="1"/>
    <col min="34" max="34" width="8.85546875" style="65" customWidth="1"/>
    <col min="35" max="35" width="11.5703125" style="28" customWidth="1"/>
    <col min="36" max="36" width="72.28515625" style="32" customWidth="1"/>
    <col min="37" max="37" width="10.85546875" style="31" bestFit="1" customWidth="1"/>
    <col min="38" max="38" width="9.5703125" style="31" bestFit="1" customWidth="1"/>
    <col min="39" max="229" width="9.140625" style="31"/>
    <col min="230" max="230" width="3.7109375" style="31" customWidth="1"/>
    <col min="231" max="231" width="8.140625" style="31" customWidth="1"/>
    <col min="232" max="232" width="18.140625" style="31" customWidth="1"/>
    <col min="233" max="233" width="6.5703125" style="31" customWidth="1"/>
    <col min="234" max="234" width="10.28515625" style="31" customWidth="1"/>
    <col min="235" max="235" width="7.28515625" style="31" customWidth="1"/>
    <col min="236" max="236" width="6" style="31" customWidth="1"/>
    <col min="237" max="237" width="5.7109375" style="31" customWidth="1"/>
    <col min="238" max="243" width="9.7109375" style="31" customWidth="1"/>
    <col min="244" max="244" width="10" style="31" customWidth="1"/>
    <col min="245" max="246" width="13.42578125" style="31" customWidth="1"/>
    <col min="247" max="247" width="10.140625" style="31" customWidth="1"/>
    <col min="248" max="249" width="10" style="31" customWidth="1"/>
    <col min="250" max="250" width="10.7109375" style="31" customWidth="1"/>
    <col min="251" max="251" width="12.5703125" style="31" customWidth="1"/>
    <col min="252" max="252" width="7.5703125" style="31" customWidth="1"/>
    <col min="253" max="253" width="9.5703125" style="31" customWidth="1"/>
    <col min="254" max="254" width="8" style="31" customWidth="1"/>
    <col min="255" max="255" width="8.28515625" style="31" customWidth="1"/>
    <col min="256" max="256" width="12.42578125" style="31" customWidth="1"/>
    <col min="257" max="257" width="10.42578125" style="31" customWidth="1"/>
    <col min="258" max="258" width="13.7109375" style="31" customWidth="1"/>
    <col min="259" max="260" width="9.85546875" style="31" customWidth="1"/>
    <col min="261" max="261" width="16.42578125" style="31" customWidth="1"/>
    <col min="262" max="262" width="9.140625" style="31"/>
    <col min="263" max="263" width="11.28515625" style="31" customWidth="1"/>
    <col min="264" max="266" width="9.140625" style="31"/>
    <col min="267" max="267" width="18" style="31" customWidth="1"/>
    <col min="268" max="485" width="9.140625" style="31"/>
    <col min="486" max="486" width="3.7109375" style="31" customWidth="1"/>
    <col min="487" max="487" width="8.140625" style="31" customWidth="1"/>
    <col min="488" max="488" width="18.140625" style="31" customWidth="1"/>
    <col min="489" max="489" width="6.5703125" style="31" customWidth="1"/>
    <col min="490" max="490" width="10.28515625" style="31" customWidth="1"/>
    <col min="491" max="491" width="7.28515625" style="31" customWidth="1"/>
    <col min="492" max="492" width="6" style="31" customWidth="1"/>
    <col min="493" max="493" width="5.7109375" style="31" customWidth="1"/>
    <col min="494" max="499" width="9.7109375" style="31" customWidth="1"/>
    <col min="500" max="500" width="10" style="31" customWidth="1"/>
    <col min="501" max="502" width="13.42578125" style="31" customWidth="1"/>
    <col min="503" max="503" width="10.140625" style="31" customWidth="1"/>
    <col min="504" max="505" width="10" style="31" customWidth="1"/>
    <col min="506" max="506" width="10.7109375" style="31" customWidth="1"/>
    <col min="507" max="507" width="12.5703125" style="31" customWidth="1"/>
    <col min="508" max="508" width="7.5703125" style="31" customWidth="1"/>
    <col min="509" max="509" width="9.5703125" style="31" customWidth="1"/>
    <col min="510" max="510" width="8" style="31" customWidth="1"/>
    <col min="511" max="511" width="8.28515625" style="31" customWidth="1"/>
    <col min="512" max="512" width="12.42578125" style="31" customWidth="1"/>
    <col min="513" max="513" width="10.42578125" style="31" customWidth="1"/>
    <col min="514" max="514" width="13.7109375" style="31" customWidth="1"/>
    <col min="515" max="516" width="9.85546875" style="31" customWidth="1"/>
    <col min="517" max="517" width="16.42578125" style="31" customWidth="1"/>
    <col min="518" max="518" width="9.140625" style="31"/>
    <col min="519" max="519" width="11.28515625" style="31" customWidth="1"/>
    <col min="520" max="522" width="9.140625" style="31"/>
    <col min="523" max="523" width="18" style="31" customWidth="1"/>
    <col min="524" max="741" width="9.140625" style="31"/>
    <col min="742" max="742" width="3.7109375" style="31" customWidth="1"/>
    <col min="743" max="743" width="8.140625" style="31" customWidth="1"/>
    <col min="744" max="744" width="18.140625" style="31" customWidth="1"/>
    <col min="745" max="745" width="6.5703125" style="31" customWidth="1"/>
    <col min="746" max="746" width="10.28515625" style="31" customWidth="1"/>
    <col min="747" max="747" width="7.28515625" style="31" customWidth="1"/>
    <col min="748" max="748" width="6" style="31" customWidth="1"/>
    <col min="749" max="749" width="5.7109375" style="31" customWidth="1"/>
    <col min="750" max="755" width="9.7109375" style="31" customWidth="1"/>
    <col min="756" max="756" width="10" style="31" customWidth="1"/>
    <col min="757" max="758" width="13.42578125" style="31" customWidth="1"/>
    <col min="759" max="759" width="10.140625" style="31" customWidth="1"/>
    <col min="760" max="761" width="10" style="31" customWidth="1"/>
    <col min="762" max="762" width="10.7109375" style="31" customWidth="1"/>
    <col min="763" max="763" width="12.5703125" style="31" customWidth="1"/>
    <col min="764" max="764" width="7.5703125" style="31" customWidth="1"/>
    <col min="765" max="765" width="9.5703125" style="31" customWidth="1"/>
    <col min="766" max="766" width="8" style="31" customWidth="1"/>
    <col min="767" max="767" width="8.28515625" style="31" customWidth="1"/>
    <col min="768" max="768" width="12.42578125" style="31" customWidth="1"/>
    <col min="769" max="769" width="10.42578125" style="31" customWidth="1"/>
    <col min="770" max="770" width="13.7109375" style="31" customWidth="1"/>
    <col min="771" max="772" width="9.85546875" style="31" customWidth="1"/>
    <col min="773" max="773" width="16.42578125" style="31" customWidth="1"/>
    <col min="774" max="774" width="9.140625" style="31"/>
    <col min="775" max="775" width="11.28515625" style="31" customWidth="1"/>
    <col min="776" max="778" width="9.140625" style="31"/>
    <col min="779" max="779" width="18" style="31" customWidth="1"/>
    <col min="780" max="996" width="9.140625" style="31"/>
    <col min="997" max="16384" width="9.140625" style="33"/>
  </cols>
  <sheetData>
    <row r="1" spans="1:996" s="7" customFormat="1" ht="21" customHeight="1">
      <c r="A1" s="42" t="s">
        <v>95</v>
      </c>
      <c r="B1" s="1"/>
      <c r="C1" s="53"/>
      <c r="D1" s="2"/>
      <c r="E1" s="2"/>
      <c r="F1" s="14"/>
      <c r="G1" s="3"/>
      <c r="H1" s="4"/>
      <c r="I1" s="4"/>
      <c r="J1" s="4"/>
      <c r="K1" s="17"/>
      <c r="L1" s="17"/>
      <c r="M1" s="17"/>
      <c r="N1" s="17"/>
      <c r="O1" s="63"/>
      <c r="P1" s="4"/>
      <c r="Q1" s="4"/>
      <c r="R1" s="4"/>
      <c r="S1" s="4"/>
      <c r="T1" s="4"/>
      <c r="U1" s="5"/>
      <c r="V1" s="5"/>
      <c r="W1" s="5"/>
      <c r="X1" s="4"/>
      <c r="Y1" s="4"/>
      <c r="Z1" s="4"/>
      <c r="AA1" s="4"/>
      <c r="AB1" s="4"/>
      <c r="AC1" s="4"/>
      <c r="AD1" s="4"/>
      <c r="AE1" s="4"/>
      <c r="AF1" s="4"/>
      <c r="AG1" s="4"/>
      <c r="AH1" s="63"/>
      <c r="AI1" s="4"/>
      <c r="AJ1" s="1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</row>
    <row r="2" spans="1:996" s="8" customFormat="1" ht="20.25" customHeight="1">
      <c r="A2" s="43"/>
      <c r="B2" s="44"/>
      <c r="C2" s="54"/>
      <c r="D2" s="45"/>
      <c r="E2" s="45"/>
      <c r="F2" s="66"/>
      <c r="G2" s="46"/>
      <c r="H2" s="76" t="s">
        <v>36</v>
      </c>
      <c r="I2" s="76"/>
      <c r="J2" s="76"/>
      <c r="K2" s="74" t="s">
        <v>41</v>
      </c>
      <c r="L2" s="74"/>
      <c r="M2" s="74"/>
      <c r="N2" s="74"/>
      <c r="O2" s="70"/>
      <c r="P2" s="95" t="s">
        <v>4</v>
      </c>
      <c r="Q2" s="95"/>
      <c r="R2" s="95"/>
      <c r="S2" s="95"/>
      <c r="T2" s="47"/>
      <c r="U2" s="97" t="s">
        <v>29</v>
      </c>
      <c r="V2" s="97"/>
      <c r="W2" s="97"/>
      <c r="X2" s="97"/>
      <c r="Y2" s="97"/>
      <c r="Z2" s="97"/>
      <c r="AA2" s="97"/>
      <c r="AB2" s="97"/>
      <c r="AC2" s="97"/>
      <c r="AD2" s="48"/>
      <c r="AE2" s="55"/>
      <c r="AF2" s="59"/>
      <c r="AG2" s="49"/>
      <c r="AH2" s="64"/>
      <c r="AI2" s="50"/>
      <c r="AJ2" s="51"/>
    </row>
    <row r="3" spans="1:996" s="8" customFormat="1" ht="20.100000000000001" customHeight="1">
      <c r="A3" s="81" t="s">
        <v>0</v>
      </c>
      <c r="B3" s="80" t="s">
        <v>27</v>
      </c>
      <c r="C3" s="80" t="s">
        <v>1</v>
      </c>
      <c r="D3" s="85" t="s">
        <v>22</v>
      </c>
      <c r="E3" s="85" t="s">
        <v>23</v>
      </c>
      <c r="F3" s="86" t="s">
        <v>2</v>
      </c>
      <c r="G3" s="87" t="s">
        <v>3</v>
      </c>
      <c r="H3" s="75" t="s">
        <v>9</v>
      </c>
      <c r="I3" s="75" t="s">
        <v>10</v>
      </c>
      <c r="J3" s="75" t="s">
        <v>38</v>
      </c>
      <c r="K3" s="77" t="s">
        <v>6</v>
      </c>
      <c r="L3" s="77" t="s">
        <v>7</v>
      </c>
      <c r="M3" s="79" t="s">
        <v>50</v>
      </c>
      <c r="N3" s="78" t="s">
        <v>8</v>
      </c>
      <c r="O3" s="88" t="s">
        <v>42</v>
      </c>
      <c r="P3" s="82" t="s">
        <v>11</v>
      </c>
      <c r="Q3" s="82" t="s">
        <v>28</v>
      </c>
      <c r="R3" s="82" t="s">
        <v>71</v>
      </c>
      <c r="S3" s="82" t="s">
        <v>12</v>
      </c>
      <c r="T3" s="89" t="s">
        <v>34</v>
      </c>
      <c r="U3" s="94" t="s">
        <v>31</v>
      </c>
      <c r="V3" s="94" t="s">
        <v>30</v>
      </c>
      <c r="W3" s="94" t="s">
        <v>43</v>
      </c>
      <c r="X3" s="94" t="s">
        <v>32</v>
      </c>
      <c r="Y3" s="94" t="s">
        <v>33</v>
      </c>
      <c r="Z3" s="94" t="s">
        <v>72</v>
      </c>
      <c r="AA3" s="94" t="s">
        <v>73</v>
      </c>
      <c r="AB3" s="94" t="s">
        <v>74</v>
      </c>
      <c r="AC3" s="94" t="s">
        <v>12</v>
      </c>
      <c r="AD3" s="90" t="s">
        <v>61</v>
      </c>
      <c r="AE3" s="98" t="s">
        <v>75</v>
      </c>
      <c r="AF3" s="91" t="s">
        <v>45</v>
      </c>
      <c r="AG3" s="92" t="s">
        <v>37</v>
      </c>
      <c r="AH3" s="93" t="s">
        <v>46</v>
      </c>
      <c r="AI3" s="96" t="s">
        <v>35</v>
      </c>
      <c r="AJ3" s="84" t="s">
        <v>5</v>
      </c>
    </row>
    <row r="4" spans="1:996" s="8" customFormat="1" ht="27" customHeight="1">
      <c r="A4" s="81"/>
      <c r="B4" s="80"/>
      <c r="C4" s="80"/>
      <c r="D4" s="85"/>
      <c r="E4" s="85"/>
      <c r="F4" s="86"/>
      <c r="G4" s="87"/>
      <c r="H4" s="75"/>
      <c r="I4" s="75"/>
      <c r="J4" s="75"/>
      <c r="K4" s="77"/>
      <c r="L4" s="77"/>
      <c r="M4" s="79"/>
      <c r="N4" s="78"/>
      <c r="O4" s="88"/>
      <c r="P4" s="82"/>
      <c r="Q4" s="82"/>
      <c r="R4" s="82"/>
      <c r="S4" s="82"/>
      <c r="T4" s="89"/>
      <c r="U4" s="94"/>
      <c r="V4" s="94"/>
      <c r="W4" s="94"/>
      <c r="X4" s="94"/>
      <c r="Y4" s="94"/>
      <c r="Z4" s="94"/>
      <c r="AA4" s="94"/>
      <c r="AB4" s="94"/>
      <c r="AC4" s="94"/>
      <c r="AD4" s="90"/>
      <c r="AE4" s="99"/>
      <c r="AF4" s="91"/>
      <c r="AG4" s="92"/>
      <c r="AH4" s="93"/>
      <c r="AI4" s="96"/>
      <c r="AJ4" s="84"/>
    </row>
    <row r="5" spans="1:996" s="57" customFormat="1" ht="13.9" customHeight="1">
      <c r="A5" s="9">
        <f t="shared" ref="A5:A24" si="0">ROW()-4</f>
        <v>1</v>
      </c>
      <c r="B5" s="10" t="s">
        <v>13</v>
      </c>
      <c r="C5" s="69" t="s">
        <v>14</v>
      </c>
      <c r="D5" s="67" t="s">
        <v>25</v>
      </c>
      <c r="E5" s="67" t="s">
        <v>48</v>
      </c>
      <c r="F5" s="67" t="s">
        <v>24</v>
      </c>
      <c r="G5" s="11">
        <v>23</v>
      </c>
      <c r="H5" s="12">
        <v>0</v>
      </c>
      <c r="I5" s="12">
        <v>46200000</v>
      </c>
      <c r="J5" s="12">
        <v>0</v>
      </c>
      <c r="K5" s="18"/>
      <c r="L5" s="58">
        <v>23</v>
      </c>
      <c r="M5" s="18"/>
      <c r="N5" s="18">
        <f t="shared" ref="N5:N12" si="1">K5+L5+M5</f>
        <v>23</v>
      </c>
      <c r="O5" s="12">
        <f>(H5/G5*K5)+(I5/G5*L5)+(I5/G5*M5)</f>
        <v>46200000</v>
      </c>
      <c r="P5" s="12"/>
      <c r="Q5" s="12"/>
      <c r="R5" s="12"/>
      <c r="S5" s="12">
        <v>0</v>
      </c>
      <c r="T5" s="12"/>
      <c r="U5" s="12">
        <v>0</v>
      </c>
      <c r="V5" s="12"/>
      <c r="W5" s="12"/>
      <c r="X5" s="12"/>
      <c r="Y5" s="12"/>
      <c r="Z5" s="12"/>
      <c r="AA5" s="12"/>
      <c r="AB5" s="12"/>
      <c r="AC5" s="12"/>
      <c r="AD5" s="12">
        <v>4000000</v>
      </c>
      <c r="AE5" s="12"/>
      <c r="AF5" s="13">
        <f t="shared" ref="AF5:AF16" si="2">O5+P5+Q5+R5+S5+U5+V5+W5+X5+Y5+Z5+AA5+AB5+AC5-AD5+AE5</f>
        <v>42200000</v>
      </c>
      <c r="AG5" s="12">
        <v>10000000</v>
      </c>
      <c r="AH5" s="12">
        <f t="shared" ref="AH5:AH18" si="3">AG5*32%</f>
        <v>3200000</v>
      </c>
      <c r="AI5" s="13">
        <f t="shared" ref="AI5:AI16" si="4">AF5+AH5</f>
        <v>45400000</v>
      </c>
      <c r="AJ5" s="35"/>
      <c r="AK5" s="56"/>
      <c r="AL5" s="56"/>
    </row>
    <row r="6" spans="1:996" s="57" customFormat="1" ht="13.9" customHeight="1">
      <c r="A6" s="9">
        <f t="shared" si="0"/>
        <v>2</v>
      </c>
      <c r="B6" s="36" t="s">
        <v>93</v>
      </c>
      <c r="C6" s="69" t="s">
        <v>94</v>
      </c>
      <c r="D6" s="67" t="s">
        <v>25</v>
      </c>
      <c r="E6" s="67" t="s">
        <v>48</v>
      </c>
      <c r="F6" s="67" t="s">
        <v>96</v>
      </c>
      <c r="G6" s="11">
        <v>23</v>
      </c>
      <c r="H6" s="12">
        <f>I6*85%</f>
        <v>21250000</v>
      </c>
      <c r="I6" s="12">
        <v>25000000</v>
      </c>
      <c r="J6" s="12">
        <v>0</v>
      </c>
      <c r="K6" s="58">
        <v>21.456250000000001</v>
      </c>
      <c r="L6" s="58">
        <v>0</v>
      </c>
      <c r="M6" s="18"/>
      <c r="N6" s="18">
        <f t="shared" ref="N6" si="5">K6+L6+M6</f>
        <v>21.456250000000001</v>
      </c>
      <c r="O6" s="12">
        <f>(H6/G6*K6)+(I6/G6*L6)+(I6/G6*M6)</f>
        <v>19823709.239130434</v>
      </c>
      <c r="P6" s="12"/>
      <c r="Q6" s="12"/>
      <c r="R6" s="12"/>
      <c r="S6" s="12">
        <v>0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3">
        <f t="shared" ref="AF6" si="6">O6+P6+Q6+R6+S6+U6+V6+W6+X6+Y6+Z6+AA6+AB6+AC6-AD6+AE6</f>
        <v>19823709.239130434</v>
      </c>
      <c r="AG6" s="12">
        <v>0</v>
      </c>
      <c r="AH6" s="12">
        <f t="shared" ref="AH6" si="7">AG6*32%</f>
        <v>0</v>
      </c>
      <c r="AI6" s="13">
        <f t="shared" ref="AI6" si="8">AF6+AH6</f>
        <v>19823709.239130434</v>
      </c>
      <c r="AJ6" s="35"/>
      <c r="AK6" s="56"/>
      <c r="AL6" s="56"/>
    </row>
    <row r="7" spans="1:996" s="57" customFormat="1" ht="13.9" customHeight="1">
      <c r="A7" s="9">
        <f t="shared" si="0"/>
        <v>3</v>
      </c>
      <c r="B7" s="36" t="s">
        <v>79</v>
      </c>
      <c r="C7" s="69" t="s">
        <v>80</v>
      </c>
      <c r="D7" s="67" t="s">
        <v>25</v>
      </c>
      <c r="E7" s="67" t="s">
        <v>47</v>
      </c>
      <c r="F7" s="67" t="s">
        <v>89</v>
      </c>
      <c r="G7" s="11">
        <v>23</v>
      </c>
      <c r="H7" s="12">
        <f>I7*85%</f>
        <v>15300000</v>
      </c>
      <c r="I7" s="12">
        <f>18000000</f>
        <v>18000000</v>
      </c>
      <c r="J7" s="12"/>
      <c r="K7" s="58">
        <v>12.84375</v>
      </c>
      <c r="L7" s="58">
        <v>9.8728999999999996</v>
      </c>
      <c r="M7" s="18"/>
      <c r="N7" s="18">
        <f t="shared" si="1"/>
        <v>22.716650000000001</v>
      </c>
      <c r="O7" s="12">
        <f>(H7/G7*K7)+(I7/G7*L7)+(I7/G7*M7)</f>
        <v>16270503.260869564</v>
      </c>
      <c r="P7" s="12"/>
      <c r="Q7" s="12"/>
      <c r="R7" s="12"/>
      <c r="S7" s="12"/>
      <c r="T7" s="12"/>
      <c r="U7" s="12"/>
      <c r="V7" s="12">
        <v>100000</v>
      </c>
      <c r="W7" s="12"/>
      <c r="X7" s="12"/>
      <c r="Y7" s="12"/>
      <c r="Z7" s="12"/>
      <c r="AA7" s="12"/>
      <c r="AB7" s="12"/>
      <c r="AC7" s="12"/>
      <c r="AD7" s="12"/>
      <c r="AE7" s="12"/>
      <c r="AF7" s="13">
        <f t="shared" si="2"/>
        <v>16370503.260869564</v>
      </c>
      <c r="AG7" s="12"/>
      <c r="AH7" s="12"/>
      <c r="AI7" s="13">
        <f t="shared" si="4"/>
        <v>16370503.260869564</v>
      </c>
      <c r="AJ7" s="35"/>
      <c r="AK7" s="56"/>
      <c r="AL7" s="56"/>
    </row>
    <row r="8" spans="1:996" s="57" customFormat="1" ht="13.9" customHeight="1">
      <c r="A8" s="9">
        <f t="shared" si="0"/>
        <v>4</v>
      </c>
      <c r="B8" s="10" t="s">
        <v>54</v>
      </c>
      <c r="C8" s="69" t="s">
        <v>49</v>
      </c>
      <c r="D8" s="67" t="s">
        <v>25</v>
      </c>
      <c r="E8" s="67" t="s">
        <v>47</v>
      </c>
      <c r="F8" s="67" t="s">
        <v>92</v>
      </c>
      <c r="G8" s="11">
        <v>23</v>
      </c>
      <c r="H8" s="12"/>
      <c r="I8" s="12">
        <v>14000000</v>
      </c>
      <c r="J8" s="12">
        <v>0</v>
      </c>
      <c r="K8" s="18"/>
      <c r="L8" s="58">
        <v>22.541675000000001</v>
      </c>
      <c r="M8" s="18"/>
      <c r="N8" s="18">
        <f t="shared" si="1"/>
        <v>22.541675000000001</v>
      </c>
      <c r="O8" s="12">
        <f t="shared" ref="O8:O11" si="9">(H8/G8*K8)+(I8/G8*L8)+(I8/G8*M8)</f>
        <v>13721019.565217393</v>
      </c>
      <c r="P8" s="12"/>
      <c r="Q8" s="12"/>
      <c r="R8" s="12"/>
      <c r="S8" s="12">
        <v>0</v>
      </c>
      <c r="T8" s="12"/>
      <c r="U8" s="12"/>
      <c r="V8" s="12"/>
      <c r="W8" s="12"/>
      <c r="X8" s="12"/>
      <c r="Y8" s="12"/>
      <c r="Z8" s="12"/>
      <c r="AA8" s="12"/>
      <c r="AB8" s="12">
        <v>1800000</v>
      </c>
      <c r="AC8" s="12"/>
      <c r="AD8" s="12"/>
      <c r="AE8" s="12"/>
      <c r="AF8" s="13">
        <f t="shared" si="2"/>
        <v>15521019.565217393</v>
      </c>
      <c r="AG8" s="12">
        <v>6000000</v>
      </c>
      <c r="AH8" s="12">
        <f t="shared" si="3"/>
        <v>1920000</v>
      </c>
      <c r="AI8" s="13">
        <f t="shared" si="4"/>
        <v>17441019.565217391</v>
      </c>
      <c r="AJ8" s="35"/>
      <c r="AK8" s="56"/>
      <c r="AL8" s="56"/>
    </row>
    <row r="9" spans="1:996" s="57" customFormat="1" ht="14.25" customHeight="1">
      <c r="A9" s="9">
        <f t="shared" si="0"/>
        <v>5</v>
      </c>
      <c r="B9" s="10" t="s">
        <v>55</v>
      </c>
      <c r="C9" s="73" t="s">
        <v>40</v>
      </c>
      <c r="D9" s="68" t="s">
        <v>25</v>
      </c>
      <c r="E9" s="68" t="s">
        <v>47</v>
      </c>
      <c r="F9" s="68" t="s">
        <v>44</v>
      </c>
      <c r="G9" s="41">
        <v>23</v>
      </c>
      <c r="H9" s="39">
        <v>0</v>
      </c>
      <c r="I9" s="39">
        <v>14200000</v>
      </c>
      <c r="J9" s="39">
        <v>0</v>
      </c>
      <c r="K9" s="40"/>
      <c r="L9" s="58">
        <v>20.75</v>
      </c>
      <c r="M9" s="40">
        <v>1.3125</v>
      </c>
      <c r="N9" s="40">
        <f t="shared" si="1"/>
        <v>22.0625</v>
      </c>
      <c r="O9" s="39">
        <f t="shared" si="9"/>
        <v>13621195.652173912</v>
      </c>
      <c r="P9" s="39"/>
      <c r="Q9" s="39"/>
      <c r="R9" s="39"/>
      <c r="S9" s="39">
        <v>0</v>
      </c>
      <c r="T9" s="39"/>
      <c r="U9" s="39"/>
      <c r="V9" s="12">
        <v>2566666.6666666665</v>
      </c>
      <c r="W9" s="39"/>
      <c r="X9" s="39"/>
      <c r="Y9" s="39"/>
      <c r="Z9" s="39"/>
      <c r="AA9" s="12"/>
      <c r="AB9" s="39"/>
      <c r="AC9" s="39"/>
      <c r="AD9" s="39"/>
      <c r="AE9" s="39"/>
      <c r="AF9" s="13">
        <f t="shared" si="2"/>
        <v>16187862.318840578</v>
      </c>
      <c r="AG9" s="39">
        <v>6000000</v>
      </c>
      <c r="AH9" s="39">
        <f t="shared" si="3"/>
        <v>1920000</v>
      </c>
      <c r="AI9" s="13">
        <f t="shared" si="4"/>
        <v>18107862.318840578</v>
      </c>
      <c r="AJ9" s="38"/>
      <c r="AK9" s="56"/>
      <c r="AL9" s="56"/>
    </row>
    <row r="10" spans="1:996" s="57" customFormat="1" ht="12">
      <c r="A10" s="9">
        <f t="shared" si="0"/>
        <v>6</v>
      </c>
      <c r="B10" s="10" t="s">
        <v>15</v>
      </c>
      <c r="C10" s="69" t="s">
        <v>16</v>
      </c>
      <c r="D10" s="67" t="s">
        <v>25</v>
      </c>
      <c r="E10" s="67" t="s">
        <v>47</v>
      </c>
      <c r="F10" s="67" t="s">
        <v>70</v>
      </c>
      <c r="G10" s="11">
        <v>23</v>
      </c>
      <c r="H10" s="12">
        <v>0</v>
      </c>
      <c r="I10" s="12">
        <v>21000000</v>
      </c>
      <c r="J10" s="12">
        <v>0</v>
      </c>
      <c r="K10" s="18"/>
      <c r="L10" s="58">
        <v>23.729175000000001</v>
      </c>
      <c r="M10" s="18"/>
      <c r="N10" s="40">
        <f>K10+L10+M10</f>
        <v>23.729175000000001</v>
      </c>
      <c r="O10" s="12">
        <f t="shared" si="9"/>
        <v>21665768.478260871</v>
      </c>
      <c r="P10" s="12"/>
      <c r="Q10" s="12"/>
      <c r="R10" s="12"/>
      <c r="S10" s="12">
        <v>0</v>
      </c>
      <c r="T10" s="12"/>
      <c r="U10" s="12"/>
      <c r="V10" s="12">
        <v>3075000</v>
      </c>
      <c r="W10" s="12"/>
      <c r="X10" s="12"/>
      <c r="Y10" s="12"/>
      <c r="Z10" s="12"/>
      <c r="AA10" s="12"/>
      <c r="AB10" s="12"/>
      <c r="AC10" s="12"/>
      <c r="AD10" s="12"/>
      <c r="AE10" s="12"/>
      <c r="AF10" s="13">
        <f t="shared" si="2"/>
        <v>24740768.478260871</v>
      </c>
      <c r="AG10" s="12">
        <v>6000000</v>
      </c>
      <c r="AH10" s="12">
        <f t="shared" si="3"/>
        <v>1920000</v>
      </c>
      <c r="AI10" s="13">
        <f t="shared" si="4"/>
        <v>26660768.478260871</v>
      </c>
      <c r="AJ10" s="35"/>
      <c r="AK10" s="56"/>
      <c r="AL10" s="56"/>
    </row>
    <row r="11" spans="1:996" s="57" customFormat="1" ht="13.9" customHeight="1">
      <c r="A11" s="9">
        <f t="shared" si="0"/>
        <v>7</v>
      </c>
      <c r="B11" s="10" t="s">
        <v>56</v>
      </c>
      <c r="C11" s="69" t="s">
        <v>39</v>
      </c>
      <c r="D11" s="67" t="s">
        <v>25</v>
      </c>
      <c r="E11" s="67" t="s">
        <v>47</v>
      </c>
      <c r="F11" s="67" t="s">
        <v>26</v>
      </c>
      <c r="G11" s="11">
        <v>23</v>
      </c>
      <c r="H11" s="12">
        <v>0</v>
      </c>
      <c r="I11" s="12">
        <v>10800000</v>
      </c>
      <c r="J11" s="12">
        <v>0</v>
      </c>
      <c r="K11" s="18"/>
      <c r="L11" s="58">
        <v>18.508324999999999</v>
      </c>
      <c r="M11" s="18">
        <v>1.5</v>
      </c>
      <c r="N11" s="40">
        <f t="shared" si="1"/>
        <v>20.008324999999999</v>
      </c>
      <c r="O11" s="12">
        <f t="shared" si="9"/>
        <v>9395213.4782608692</v>
      </c>
      <c r="P11" s="12"/>
      <c r="Q11" s="12"/>
      <c r="R11" s="12"/>
      <c r="S11" s="12">
        <v>0</v>
      </c>
      <c r="T11" s="12"/>
      <c r="U11" s="12"/>
      <c r="V11" s="12">
        <v>1083333.3333333333</v>
      </c>
      <c r="W11" s="12"/>
      <c r="X11" s="12"/>
      <c r="Y11" s="12"/>
      <c r="Z11" s="12"/>
      <c r="AA11" s="12"/>
      <c r="AB11" s="12"/>
      <c r="AC11" s="12"/>
      <c r="AD11" s="12"/>
      <c r="AE11" s="12"/>
      <c r="AF11" s="13">
        <f t="shared" si="2"/>
        <v>10478546.811594203</v>
      </c>
      <c r="AG11" s="12">
        <v>6000000</v>
      </c>
      <c r="AH11" s="12">
        <f t="shared" si="3"/>
        <v>1920000</v>
      </c>
      <c r="AI11" s="13">
        <f t="shared" si="4"/>
        <v>12398546.811594203</v>
      </c>
      <c r="AJ11" s="35"/>
      <c r="AK11" s="56"/>
      <c r="AL11" s="56"/>
    </row>
    <row r="12" spans="1:996" s="57" customFormat="1" ht="13.5" customHeight="1">
      <c r="A12" s="9">
        <f t="shared" si="0"/>
        <v>8</v>
      </c>
      <c r="B12" s="10" t="s">
        <v>51</v>
      </c>
      <c r="C12" s="69" t="s">
        <v>52</v>
      </c>
      <c r="D12" s="67" t="s">
        <v>25</v>
      </c>
      <c r="E12" s="67" t="s">
        <v>47</v>
      </c>
      <c r="F12" s="67" t="s">
        <v>53</v>
      </c>
      <c r="G12" s="11">
        <v>23</v>
      </c>
      <c r="H12" s="12"/>
      <c r="I12" s="12">
        <v>12500000</v>
      </c>
      <c r="J12" s="12">
        <v>0</v>
      </c>
      <c r="K12" s="18"/>
      <c r="L12" s="58">
        <v>22.975000000000001</v>
      </c>
      <c r="M12" s="18"/>
      <c r="N12" s="40">
        <f t="shared" si="1"/>
        <v>22.975000000000001</v>
      </c>
      <c r="O12" s="12">
        <f t="shared" ref="O12:O16" si="10">(H12/G12*K12)+(I12/G12*L12)+(I12/G12*M12)</f>
        <v>12486413.043478262</v>
      </c>
      <c r="P12" s="12"/>
      <c r="Q12" s="12"/>
      <c r="R12" s="12"/>
      <c r="S12" s="12">
        <v>0</v>
      </c>
      <c r="T12" s="12"/>
      <c r="U12" s="12"/>
      <c r="V12" s="12">
        <v>666666.66666666663</v>
      </c>
      <c r="W12" s="12"/>
      <c r="X12" s="12"/>
      <c r="Y12" s="12"/>
      <c r="Z12" s="12"/>
      <c r="AA12" s="12"/>
      <c r="AB12" s="12"/>
      <c r="AC12" s="12"/>
      <c r="AD12" s="12"/>
      <c r="AE12" s="12"/>
      <c r="AF12" s="13">
        <f t="shared" si="2"/>
        <v>13153079.710144928</v>
      </c>
      <c r="AG12" s="12">
        <v>6000000</v>
      </c>
      <c r="AH12" s="12">
        <f t="shared" si="3"/>
        <v>1920000</v>
      </c>
      <c r="AI12" s="13">
        <f t="shared" si="4"/>
        <v>15073079.710144928</v>
      </c>
      <c r="AJ12" s="35"/>
      <c r="AK12" s="56"/>
      <c r="AL12" s="56"/>
    </row>
    <row r="13" spans="1:996" s="57" customFormat="1" ht="13.9" customHeight="1">
      <c r="A13" s="9">
        <f t="shared" si="0"/>
        <v>9</v>
      </c>
      <c r="B13" s="10" t="s">
        <v>17</v>
      </c>
      <c r="C13" s="69" t="s">
        <v>18</v>
      </c>
      <c r="D13" s="67" t="s">
        <v>25</v>
      </c>
      <c r="E13" s="67" t="s">
        <v>47</v>
      </c>
      <c r="F13" s="67" t="s">
        <v>68</v>
      </c>
      <c r="G13" s="11">
        <v>23</v>
      </c>
      <c r="H13" s="12">
        <v>0</v>
      </c>
      <c r="I13" s="12">
        <v>16000000</v>
      </c>
      <c r="J13" s="12">
        <v>0</v>
      </c>
      <c r="K13" s="18"/>
      <c r="L13" s="58">
        <v>22.989587499999999</v>
      </c>
      <c r="M13" s="18"/>
      <c r="N13" s="18">
        <f>K13+L13+M13</f>
        <v>22.989587499999999</v>
      </c>
      <c r="O13" s="12">
        <f t="shared" si="10"/>
        <v>15992756.521739129</v>
      </c>
      <c r="P13" s="12"/>
      <c r="Q13" s="12"/>
      <c r="R13" s="12"/>
      <c r="S13" s="12">
        <v>0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>
        <v>791777</v>
      </c>
      <c r="AE13" s="12"/>
      <c r="AF13" s="13">
        <f t="shared" si="2"/>
        <v>15200979.521739129</v>
      </c>
      <c r="AG13" s="12">
        <v>6000000</v>
      </c>
      <c r="AH13" s="12">
        <f t="shared" si="3"/>
        <v>1920000</v>
      </c>
      <c r="AI13" s="13">
        <f t="shared" si="4"/>
        <v>17120979.521739129</v>
      </c>
      <c r="AJ13" s="35"/>
      <c r="AK13" s="56"/>
      <c r="AL13" s="56"/>
    </row>
    <row r="14" spans="1:996" s="57" customFormat="1" ht="13.9" customHeight="1">
      <c r="A14" s="9">
        <f t="shared" si="0"/>
        <v>10</v>
      </c>
      <c r="B14" s="10" t="s">
        <v>19</v>
      </c>
      <c r="C14" s="69" t="s">
        <v>20</v>
      </c>
      <c r="D14" s="67" t="s">
        <v>25</v>
      </c>
      <c r="E14" s="67" t="s">
        <v>47</v>
      </c>
      <c r="F14" s="67" t="s">
        <v>58</v>
      </c>
      <c r="G14" s="11">
        <v>23</v>
      </c>
      <c r="H14" s="12">
        <v>0</v>
      </c>
      <c r="I14" s="12">
        <v>20000000</v>
      </c>
      <c r="J14" s="12">
        <v>0</v>
      </c>
      <c r="K14" s="18"/>
      <c r="L14" s="58">
        <v>22.189575000000001</v>
      </c>
      <c r="M14" s="18">
        <v>0.65625</v>
      </c>
      <c r="N14" s="18">
        <f>K14+L14+M14</f>
        <v>22.845825000000001</v>
      </c>
      <c r="O14" s="12">
        <f t="shared" si="10"/>
        <v>19865934.782608695</v>
      </c>
      <c r="P14" s="12"/>
      <c r="Q14" s="12"/>
      <c r="R14" s="12"/>
      <c r="S14" s="12">
        <v>0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>
        <v>908223</v>
      </c>
      <c r="AE14" s="12"/>
      <c r="AF14" s="13">
        <f t="shared" si="2"/>
        <v>18957711.782608695</v>
      </c>
      <c r="AG14" s="12">
        <v>6000000</v>
      </c>
      <c r="AH14" s="12">
        <f t="shared" si="3"/>
        <v>1920000</v>
      </c>
      <c r="AI14" s="13">
        <f t="shared" si="4"/>
        <v>20877711.782608695</v>
      </c>
      <c r="AJ14" s="35"/>
      <c r="AK14" s="56"/>
      <c r="AL14" s="56"/>
    </row>
    <row r="15" spans="1:996" s="57" customFormat="1" ht="13.9" customHeight="1">
      <c r="A15" s="9">
        <f t="shared" si="0"/>
        <v>11</v>
      </c>
      <c r="B15" s="10" t="s">
        <v>62</v>
      </c>
      <c r="C15" s="69" t="s">
        <v>63</v>
      </c>
      <c r="D15" s="67" t="s">
        <v>25</v>
      </c>
      <c r="E15" s="67" t="s">
        <v>47</v>
      </c>
      <c r="F15" s="67" t="s">
        <v>26</v>
      </c>
      <c r="G15" s="11">
        <v>23</v>
      </c>
      <c r="H15" s="12"/>
      <c r="I15" s="12">
        <v>10500000</v>
      </c>
      <c r="J15" s="12">
        <v>0</v>
      </c>
      <c r="K15" s="18"/>
      <c r="L15" s="58">
        <v>22.893750000000001</v>
      </c>
      <c r="M15" s="18">
        <v>2.4375</v>
      </c>
      <c r="N15" s="18">
        <f t="shared" ref="N15:N16" si="11">K15+L15+M15</f>
        <v>25.331250000000001</v>
      </c>
      <c r="O15" s="12">
        <f>(H15/G15*K15)+(I15/G15*L15)+(I15/G15*M15)</f>
        <v>11564266.304347826</v>
      </c>
      <c r="P15" s="12"/>
      <c r="Q15" s="12"/>
      <c r="R15" s="12"/>
      <c r="S15" s="12">
        <v>0</v>
      </c>
      <c r="T15" s="12"/>
      <c r="U15" s="12"/>
      <c r="V15" s="12">
        <v>2383333.333333333</v>
      </c>
      <c r="W15" s="12"/>
      <c r="X15" s="12"/>
      <c r="Y15" s="12"/>
      <c r="Z15" s="12"/>
      <c r="AA15" s="12"/>
      <c r="AB15" s="12"/>
      <c r="AC15" s="12"/>
      <c r="AD15" s="12"/>
      <c r="AE15" s="12"/>
      <c r="AF15" s="13">
        <f t="shared" si="2"/>
        <v>13947599.63768116</v>
      </c>
      <c r="AG15" s="12">
        <v>6000000</v>
      </c>
      <c r="AH15" s="12">
        <f t="shared" si="3"/>
        <v>1920000</v>
      </c>
      <c r="AI15" s="13">
        <f t="shared" si="4"/>
        <v>15867599.63768116</v>
      </c>
      <c r="AJ15" s="35"/>
      <c r="AK15" s="56"/>
      <c r="AL15" s="56"/>
    </row>
    <row r="16" spans="1:996" s="57" customFormat="1" ht="13.9" customHeight="1">
      <c r="A16" s="9">
        <f t="shared" si="0"/>
        <v>12</v>
      </c>
      <c r="B16" s="36" t="s">
        <v>64</v>
      </c>
      <c r="C16" s="69" t="s">
        <v>65</v>
      </c>
      <c r="D16" s="67" t="s">
        <v>25</v>
      </c>
      <c r="E16" s="67" t="s">
        <v>47</v>
      </c>
      <c r="F16" s="67" t="s">
        <v>68</v>
      </c>
      <c r="G16" s="11">
        <v>23</v>
      </c>
      <c r="H16" s="12"/>
      <c r="I16" s="12">
        <v>11500000</v>
      </c>
      <c r="J16" s="12">
        <v>0</v>
      </c>
      <c r="K16" s="18"/>
      <c r="L16" s="58">
        <v>22.893762500000001</v>
      </c>
      <c r="M16" s="18"/>
      <c r="N16" s="18">
        <f t="shared" si="11"/>
        <v>22.893762500000001</v>
      </c>
      <c r="O16" s="12">
        <f t="shared" si="10"/>
        <v>11446881.25</v>
      </c>
      <c r="P16" s="12"/>
      <c r="Q16" s="12"/>
      <c r="R16" s="12"/>
      <c r="S16" s="12">
        <v>0</v>
      </c>
      <c r="T16" s="12"/>
      <c r="U16" s="12"/>
      <c r="V16" s="12">
        <v>1400000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3">
        <f t="shared" si="2"/>
        <v>12846881.25</v>
      </c>
      <c r="AG16" s="12">
        <v>6000000</v>
      </c>
      <c r="AH16" s="12">
        <f t="shared" si="3"/>
        <v>1920000</v>
      </c>
      <c r="AI16" s="13">
        <f t="shared" si="4"/>
        <v>14766881.25</v>
      </c>
      <c r="AJ16" s="35"/>
      <c r="AK16" s="56"/>
      <c r="AL16" s="56"/>
    </row>
    <row r="17" spans="1:38" s="57" customFormat="1" ht="13.9" customHeight="1">
      <c r="A17" s="9">
        <f t="shared" si="0"/>
        <v>13</v>
      </c>
      <c r="B17" s="36" t="s">
        <v>76</v>
      </c>
      <c r="C17" s="69" t="s">
        <v>78</v>
      </c>
      <c r="D17" s="67" t="s">
        <v>25</v>
      </c>
      <c r="E17" s="67" t="s">
        <v>47</v>
      </c>
      <c r="F17" s="67" t="s">
        <v>77</v>
      </c>
      <c r="G17" s="11">
        <v>23</v>
      </c>
      <c r="H17" s="12">
        <f>I17*85%</f>
        <v>10200000</v>
      </c>
      <c r="I17" s="12">
        <v>12000000</v>
      </c>
      <c r="J17" s="12">
        <v>0</v>
      </c>
      <c r="K17" s="18"/>
      <c r="L17" s="58">
        <v>21.3354125</v>
      </c>
      <c r="M17" s="18"/>
      <c r="N17" s="18">
        <f>K17+L17+M17</f>
        <v>21.3354125</v>
      </c>
      <c r="O17" s="12">
        <f>(H17/G17*K17)+(I17/G17*L17)+(I17/G17*M17)</f>
        <v>11131519.565217391</v>
      </c>
      <c r="P17" s="12"/>
      <c r="Q17" s="12"/>
      <c r="R17" s="12"/>
      <c r="S17" s="12">
        <v>0</v>
      </c>
      <c r="T17" s="12"/>
      <c r="U17" s="12"/>
      <c r="V17" s="12">
        <v>2300000</v>
      </c>
      <c r="W17" s="12"/>
      <c r="X17" s="12"/>
      <c r="Y17" s="12"/>
      <c r="Z17" s="12"/>
      <c r="AA17" s="12"/>
      <c r="AB17" s="12"/>
      <c r="AC17" s="12"/>
      <c r="AD17" s="12">
        <v>1134000</v>
      </c>
      <c r="AE17" s="12"/>
      <c r="AF17" s="13">
        <f t="shared" ref="AF17:AF24" si="12">O17+P17+Q17+R17+S17+U17+V17+W17+X17+Y17+Z17+AA17+AB17+AC17-AD17+AE17</f>
        <v>12297519.565217391</v>
      </c>
      <c r="AG17" s="12">
        <v>6000000</v>
      </c>
      <c r="AH17" s="12">
        <f t="shared" ref="AH17" si="13">AG17*32%</f>
        <v>1920000</v>
      </c>
      <c r="AI17" s="13">
        <f>AF17+AH17</f>
        <v>14217519.565217391</v>
      </c>
      <c r="AJ17" s="35"/>
      <c r="AK17" s="56"/>
      <c r="AL17" s="56"/>
    </row>
    <row r="18" spans="1:38" s="57" customFormat="1" ht="13.9" customHeight="1">
      <c r="A18" s="9">
        <f t="shared" si="0"/>
        <v>14</v>
      </c>
      <c r="B18" s="36" t="s">
        <v>66</v>
      </c>
      <c r="C18" s="69" t="s">
        <v>67</v>
      </c>
      <c r="D18" s="67" t="s">
        <v>25</v>
      </c>
      <c r="E18" s="67" t="s">
        <v>47</v>
      </c>
      <c r="F18" s="67" t="s">
        <v>69</v>
      </c>
      <c r="G18" s="11">
        <v>23</v>
      </c>
      <c r="H18" s="12">
        <v>0</v>
      </c>
      <c r="I18" s="12">
        <v>4500000</v>
      </c>
      <c r="J18" s="12">
        <v>0</v>
      </c>
      <c r="K18" s="18"/>
      <c r="L18" s="58">
        <v>0</v>
      </c>
      <c r="M18" s="18"/>
      <c r="N18" s="18">
        <f t="shared" ref="N18" si="14">K18+L18+M18</f>
        <v>0</v>
      </c>
      <c r="O18" s="12">
        <f>I18</f>
        <v>4500000</v>
      </c>
      <c r="P18" s="12"/>
      <c r="Q18" s="12"/>
      <c r="R18" s="12"/>
      <c r="S18" s="12">
        <v>0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>
        <f t="shared" si="12"/>
        <v>4500000</v>
      </c>
      <c r="AG18" s="12">
        <v>0</v>
      </c>
      <c r="AH18" s="12">
        <f t="shared" si="3"/>
        <v>0</v>
      </c>
      <c r="AI18" s="13">
        <f t="shared" ref="AI18:AI24" si="15">AF18+AH18</f>
        <v>4500000</v>
      </c>
      <c r="AJ18" s="35"/>
      <c r="AK18" s="56"/>
      <c r="AL18" s="56"/>
    </row>
    <row r="19" spans="1:38" s="57" customFormat="1" ht="13.9" customHeight="1">
      <c r="A19" s="9">
        <f t="shared" si="0"/>
        <v>15</v>
      </c>
      <c r="B19" s="10" t="s">
        <v>59</v>
      </c>
      <c r="C19" s="69" t="s">
        <v>60</v>
      </c>
      <c r="D19" s="68" t="s">
        <v>25</v>
      </c>
      <c r="E19" s="68" t="s">
        <v>47</v>
      </c>
      <c r="F19" s="68" t="s">
        <v>57</v>
      </c>
      <c r="G19" s="11">
        <v>0</v>
      </c>
      <c r="H19" s="12">
        <v>0</v>
      </c>
      <c r="I19" s="12">
        <v>0</v>
      </c>
      <c r="J19" s="12"/>
      <c r="K19" s="18"/>
      <c r="L19" s="58">
        <v>0</v>
      </c>
      <c r="M19" s="18"/>
      <c r="N19" s="18">
        <f t="shared" ref="N19" si="16">K19+L19+M19</f>
        <v>0</v>
      </c>
      <c r="O19" s="12">
        <v>0</v>
      </c>
      <c r="P19" s="12"/>
      <c r="Q19" s="12"/>
      <c r="R19" s="12"/>
      <c r="S19" s="12"/>
      <c r="T19" s="12"/>
      <c r="U19" s="12"/>
      <c r="V19" s="12"/>
      <c r="W19" s="52"/>
      <c r="X19" s="12"/>
      <c r="Y19" s="12"/>
      <c r="Z19" s="12"/>
      <c r="AA19" s="12"/>
      <c r="AB19" s="12">
        <v>9345000</v>
      </c>
      <c r="AC19" s="12"/>
      <c r="AD19" s="12"/>
      <c r="AE19" s="12"/>
      <c r="AF19" s="13">
        <f t="shared" si="12"/>
        <v>9345000</v>
      </c>
      <c r="AG19" s="12"/>
      <c r="AH19" s="12"/>
      <c r="AI19" s="13">
        <f t="shared" si="15"/>
        <v>9345000</v>
      </c>
      <c r="AJ19" s="35"/>
      <c r="AK19" s="56"/>
      <c r="AL19" s="56"/>
    </row>
    <row r="20" spans="1:38" s="57" customFormat="1" ht="13.9" customHeight="1">
      <c r="A20" s="9">
        <f t="shared" si="0"/>
        <v>16</v>
      </c>
      <c r="B20" s="36" t="s">
        <v>84</v>
      </c>
      <c r="C20" s="69" t="s">
        <v>81</v>
      </c>
      <c r="D20" s="68" t="s">
        <v>25</v>
      </c>
      <c r="E20" s="68" t="s">
        <v>47</v>
      </c>
      <c r="F20" s="68" t="s">
        <v>57</v>
      </c>
      <c r="G20" s="11"/>
      <c r="H20" s="12"/>
      <c r="I20" s="12"/>
      <c r="J20" s="12"/>
      <c r="K20" s="18"/>
      <c r="L20" s="58">
        <v>0</v>
      </c>
      <c r="M20" s="18"/>
      <c r="N20" s="18"/>
      <c r="O20" s="12"/>
      <c r="P20" s="12"/>
      <c r="Q20" s="12"/>
      <c r="R20" s="12"/>
      <c r="S20" s="12"/>
      <c r="T20" s="60"/>
      <c r="U20" s="12"/>
      <c r="V20" s="61"/>
      <c r="W20" s="52"/>
      <c r="X20" s="12"/>
      <c r="Y20" s="12"/>
      <c r="Z20" s="12"/>
      <c r="AA20" s="12"/>
      <c r="AB20" s="12">
        <v>12377999.999999998</v>
      </c>
      <c r="AC20" s="61"/>
      <c r="AD20" s="12"/>
      <c r="AE20" s="12"/>
      <c r="AF20" s="13">
        <f t="shared" si="12"/>
        <v>12377999.999999998</v>
      </c>
      <c r="AG20" s="12"/>
      <c r="AH20" s="12"/>
      <c r="AI20" s="13">
        <f t="shared" si="15"/>
        <v>12377999.999999998</v>
      </c>
      <c r="AJ20" s="35"/>
      <c r="AK20" s="56"/>
      <c r="AL20" s="56"/>
    </row>
    <row r="21" spans="1:38" s="57" customFormat="1" ht="13.9" customHeight="1">
      <c r="A21" s="9">
        <f t="shared" si="0"/>
        <v>17</v>
      </c>
      <c r="B21" s="36" t="s">
        <v>86</v>
      </c>
      <c r="C21" s="69" t="s">
        <v>85</v>
      </c>
      <c r="D21" s="68" t="s">
        <v>25</v>
      </c>
      <c r="E21" s="68" t="s">
        <v>47</v>
      </c>
      <c r="F21" s="68" t="s">
        <v>57</v>
      </c>
      <c r="G21" s="11"/>
      <c r="H21" s="12"/>
      <c r="I21" s="12"/>
      <c r="J21" s="12"/>
      <c r="K21" s="18"/>
      <c r="L21" s="58">
        <v>0</v>
      </c>
      <c r="M21" s="18"/>
      <c r="N21" s="18"/>
      <c r="O21" s="12"/>
      <c r="P21" s="12"/>
      <c r="Q21" s="12"/>
      <c r="R21" s="12"/>
      <c r="S21" s="12"/>
      <c r="T21" s="60"/>
      <c r="U21" s="12"/>
      <c r="V21" s="61"/>
      <c r="W21" s="52"/>
      <c r="X21" s="12"/>
      <c r="Y21" s="12"/>
      <c r="Z21" s="12"/>
      <c r="AA21" s="12"/>
      <c r="AB21" s="62">
        <v>17790000</v>
      </c>
      <c r="AC21" s="61"/>
      <c r="AD21" s="12"/>
      <c r="AE21" s="12"/>
      <c r="AF21" s="13">
        <f t="shared" si="12"/>
        <v>17790000</v>
      </c>
      <c r="AG21" s="12"/>
      <c r="AH21" s="12"/>
      <c r="AI21" s="13">
        <f t="shared" si="15"/>
        <v>17790000</v>
      </c>
      <c r="AJ21" s="35"/>
      <c r="AK21" s="56"/>
      <c r="AL21" s="56"/>
    </row>
    <row r="22" spans="1:38" s="57" customFormat="1" ht="13.9" customHeight="1">
      <c r="A22" s="9">
        <f t="shared" si="0"/>
        <v>18</v>
      </c>
      <c r="B22" s="36" t="s">
        <v>87</v>
      </c>
      <c r="C22" s="69" t="s">
        <v>82</v>
      </c>
      <c r="D22" s="68" t="s">
        <v>25</v>
      </c>
      <c r="E22" s="68" t="s">
        <v>47</v>
      </c>
      <c r="F22" s="68" t="s">
        <v>57</v>
      </c>
      <c r="G22" s="11"/>
      <c r="H22" s="12"/>
      <c r="I22" s="12"/>
      <c r="J22" s="12"/>
      <c r="K22" s="18"/>
      <c r="L22" s="58">
        <v>0</v>
      </c>
      <c r="M22" s="18"/>
      <c r="N22" s="18"/>
      <c r="O22" s="12"/>
      <c r="P22" s="12"/>
      <c r="Q22" s="12"/>
      <c r="R22" s="12"/>
      <c r="S22" s="12"/>
      <c r="T22" s="60"/>
      <c r="U22" s="12"/>
      <c r="V22" s="61"/>
      <c r="W22" s="52"/>
      <c r="X22" s="12"/>
      <c r="Y22" s="12"/>
      <c r="Z22" s="12"/>
      <c r="AA22" s="12"/>
      <c r="AB22" s="12">
        <v>14964000</v>
      </c>
      <c r="AC22" s="61"/>
      <c r="AD22" s="12"/>
      <c r="AE22" s="12"/>
      <c r="AF22" s="13">
        <f t="shared" si="12"/>
        <v>14964000</v>
      </c>
      <c r="AG22" s="12"/>
      <c r="AH22" s="12"/>
      <c r="AI22" s="13">
        <f t="shared" si="15"/>
        <v>14964000</v>
      </c>
      <c r="AJ22" s="35"/>
      <c r="AK22" s="56"/>
      <c r="AL22" s="56"/>
    </row>
    <row r="23" spans="1:38" s="57" customFormat="1" ht="13.9" customHeight="1">
      <c r="A23" s="9">
        <f t="shared" si="0"/>
        <v>19</v>
      </c>
      <c r="B23" s="36" t="s">
        <v>88</v>
      </c>
      <c r="C23" s="69" t="s">
        <v>83</v>
      </c>
      <c r="D23" s="68" t="s">
        <v>25</v>
      </c>
      <c r="E23" s="68" t="s">
        <v>47</v>
      </c>
      <c r="F23" s="68" t="s">
        <v>57</v>
      </c>
      <c r="G23" s="11"/>
      <c r="H23" s="12"/>
      <c r="I23" s="12"/>
      <c r="J23" s="12"/>
      <c r="K23" s="18"/>
      <c r="L23" s="58">
        <v>0</v>
      </c>
      <c r="M23" s="18"/>
      <c r="N23" s="18"/>
      <c r="O23" s="12"/>
      <c r="P23" s="12"/>
      <c r="Q23" s="12"/>
      <c r="R23" s="12"/>
      <c r="S23" s="12"/>
      <c r="T23" s="60"/>
      <c r="U23" s="12"/>
      <c r="V23" s="61"/>
      <c r="W23" s="52"/>
      <c r="X23" s="12"/>
      <c r="Y23" s="12"/>
      <c r="Z23" s="12"/>
      <c r="AA23" s="12"/>
      <c r="AB23" s="12">
        <v>9097500</v>
      </c>
      <c r="AC23" s="61"/>
      <c r="AD23" s="12"/>
      <c r="AE23" s="12"/>
      <c r="AF23" s="13">
        <f t="shared" si="12"/>
        <v>9097500</v>
      </c>
      <c r="AG23" s="12"/>
      <c r="AH23" s="12"/>
      <c r="AI23" s="13">
        <f t="shared" si="15"/>
        <v>9097500</v>
      </c>
      <c r="AJ23" s="35"/>
      <c r="AK23" s="56"/>
      <c r="AL23" s="56"/>
    </row>
    <row r="24" spans="1:38" s="57" customFormat="1" ht="13.9" customHeight="1">
      <c r="A24" s="9">
        <f t="shared" si="0"/>
        <v>20</v>
      </c>
      <c r="B24" s="36" t="s">
        <v>91</v>
      </c>
      <c r="C24" s="69" t="s">
        <v>90</v>
      </c>
      <c r="D24" s="68" t="s">
        <v>25</v>
      </c>
      <c r="E24" s="68" t="s">
        <v>47</v>
      </c>
      <c r="F24" s="68" t="s">
        <v>57</v>
      </c>
      <c r="G24" s="11"/>
      <c r="H24" s="12"/>
      <c r="I24" s="12"/>
      <c r="J24" s="12"/>
      <c r="K24" s="18"/>
      <c r="L24" s="58">
        <v>0</v>
      </c>
      <c r="M24" s="18"/>
      <c r="N24" s="18"/>
      <c r="O24" s="12"/>
      <c r="P24" s="12"/>
      <c r="Q24" s="12"/>
      <c r="R24" s="12"/>
      <c r="S24" s="12"/>
      <c r="T24" s="60"/>
      <c r="U24" s="62"/>
      <c r="V24" s="61"/>
      <c r="W24" s="52"/>
      <c r="X24" s="12"/>
      <c r="Y24" s="12"/>
      <c r="Z24" s="12"/>
      <c r="AA24" s="12"/>
      <c r="AB24" s="12">
        <v>7982500</v>
      </c>
      <c r="AC24" s="61"/>
      <c r="AD24" s="12"/>
      <c r="AE24" s="12"/>
      <c r="AF24" s="13">
        <f t="shared" si="12"/>
        <v>7982500</v>
      </c>
      <c r="AG24" s="12"/>
      <c r="AH24" s="12"/>
      <c r="AI24" s="13">
        <f t="shared" si="15"/>
        <v>7982500</v>
      </c>
      <c r="AJ24" s="35"/>
      <c r="AK24" s="56"/>
      <c r="AL24" s="56"/>
    </row>
    <row r="25" spans="1:38" s="15" customFormat="1" ht="13.9" customHeight="1">
      <c r="A25" s="83" t="s">
        <v>21</v>
      </c>
      <c r="B25" s="83"/>
      <c r="C25" s="83"/>
      <c r="D25" s="83"/>
      <c r="E25" s="83"/>
      <c r="F25" s="83"/>
      <c r="G25" s="19"/>
      <c r="H25" s="20">
        <f>SUBTOTAL(9,H5:H24)</f>
        <v>46750000</v>
      </c>
      <c r="I25" s="20">
        <f>SUBTOTAL(9,I5:I24)</f>
        <v>236200000</v>
      </c>
      <c r="J25" s="20">
        <f>SUBTOTAL(9,J5:J24)</f>
        <v>0</v>
      </c>
      <c r="K25" s="20">
        <f>SUBTOTAL(9,K5:K24)</f>
        <v>34.299999999999997</v>
      </c>
      <c r="L25" s="20">
        <f>SUBTOTAL(9,L5:L24)</f>
        <v>253.67916249999999</v>
      </c>
      <c r="M25" s="20">
        <f>SUBTOTAL(9,M5:M24)</f>
        <v>5.90625</v>
      </c>
      <c r="N25" s="20">
        <f>SUBTOTAL(9,N5:N24)</f>
        <v>293.88541249999997</v>
      </c>
      <c r="O25" s="71">
        <f>SUBTOTAL(9,O5:O24)</f>
        <v>227685181.14130431</v>
      </c>
      <c r="P25" s="20">
        <f>SUBTOTAL(9,P5:P24)</f>
        <v>0</v>
      </c>
      <c r="Q25" s="20">
        <f>SUBTOTAL(9,Q5:Q24)</f>
        <v>0</v>
      </c>
      <c r="R25" s="20">
        <f>SUBTOTAL(9,R5:R24)</f>
        <v>0</v>
      </c>
      <c r="S25" s="20">
        <f>SUBTOTAL(9,S5:S24)</f>
        <v>0</v>
      </c>
      <c r="T25" s="20">
        <f>SUBTOTAL(9,T5:T24)</f>
        <v>0</v>
      </c>
      <c r="U25" s="20">
        <f>SUBTOTAL(9,U5:U24)</f>
        <v>0</v>
      </c>
      <c r="V25" s="20">
        <f>SUBTOTAL(9,V5:V24)</f>
        <v>13575000</v>
      </c>
      <c r="W25" s="20">
        <f>SUBTOTAL(9,W5:W24)</f>
        <v>0</v>
      </c>
      <c r="X25" s="20">
        <f>SUBTOTAL(9,X5:X24)</f>
        <v>0</v>
      </c>
      <c r="Y25" s="20">
        <f>SUBTOTAL(9,Y5:Y24)</f>
        <v>0</v>
      </c>
      <c r="Z25" s="20">
        <f>SUBTOTAL(9,Z5:Z24)</f>
        <v>0</v>
      </c>
      <c r="AA25" s="20">
        <f>SUBTOTAL(9,AA5:AA24)</f>
        <v>0</v>
      </c>
      <c r="AB25" s="20">
        <f>SUBTOTAL(9,AB5:AB24)</f>
        <v>73357000</v>
      </c>
      <c r="AC25" s="20">
        <f>SUBTOTAL(9,AC5:AC24)</f>
        <v>0</v>
      </c>
      <c r="AD25" s="20">
        <f>SUBTOTAL(9,AD5:AD24)</f>
        <v>6834000</v>
      </c>
      <c r="AE25" s="20">
        <f>SUM(AE5:AE24)</f>
        <v>0</v>
      </c>
      <c r="AF25" s="20">
        <f>SUM(AF5:AF24)</f>
        <v>307783181.14130437</v>
      </c>
      <c r="AG25" s="20">
        <f>SUM(AG5:AG24)</f>
        <v>70000000</v>
      </c>
      <c r="AH25" s="20">
        <f>SUM(AH5:AH24)</f>
        <v>22400000</v>
      </c>
      <c r="AI25" s="20">
        <f>SUM(AI5:AI24)</f>
        <v>330183181.14130437</v>
      </c>
      <c r="AJ25" s="21"/>
      <c r="AK25" s="37"/>
    </row>
    <row r="26" spans="1:38" s="31" customFormat="1" ht="15" customHeight="1">
      <c r="A26" s="22"/>
      <c r="B26" s="22"/>
      <c r="C26" s="8"/>
      <c r="D26" s="34"/>
      <c r="E26" s="34"/>
      <c r="F26" s="15"/>
      <c r="G26" s="23"/>
      <c r="H26" s="24"/>
      <c r="I26" s="24"/>
      <c r="J26" s="24"/>
      <c r="K26" s="25"/>
      <c r="L26" s="26"/>
      <c r="M26" s="26"/>
      <c r="N26" s="26"/>
      <c r="O26" s="72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7"/>
      <c r="AE26" s="27"/>
      <c r="AF26" s="28"/>
      <c r="AG26" s="27"/>
      <c r="AH26" s="65"/>
      <c r="AI26" s="29"/>
      <c r="AJ26" s="30"/>
      <c r="AK26" s="37"/>
    </row>
    <row r="27" spans="1:38" s="27" customFormat="1" ht="12.75" customHeight="1">
      <c r="A27" s="22"/>
      <c r="B27" s="22"/>
      <c r="C27" s="8"/>
      <c r="D27" s="34"/>
      <c r="E27" s="34"/>
      <c r="F27" s="15"/>
      <c r="G27" s="23"/>
      <c r="H27" s="24"/>
      <c r="I27" s="24"/>
      <c r="J27" s="24"/>
      <c r="K27" s="25"/>
      <c r="L27" s="26"/>
      <c r="M27" s="26"/>
      <c r="N27" s="26"/>
      <c r="O27" s="72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F27" s="28"/>
      <c r="AH27" s="65"/>
      <c r="AI27" s="28"/>
      <c r="AJ27" s="32"/>
    </row>
    <row r="28" spans="1:38" s="27" customFormat="1" ht="12.75" customHeight="1">
      <c r="A28" s="22"/>
      <c r="B28" s="22"/>
      <c r="C28" s="8"/>
      <c r="D28" s="34"/>
      <c r="E28" s="34"/>
      <c r="F28" s="15"/>
      <c r="G28" s="23"/>
      <c r="H28" s="24"/>
      <c r="I28" s="24"/>
      <c r="J28" s="24"/>
      <c r="K28" s="25"/>
      <c r="L28" s="26"/>
      <c r="M28" s="26"/>
      <c r="N28" s="26"/>
      <c r="O28" s="72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F28" s="28"/>
      <c r="AH28" s="65"/>
      <c r="AI28" s="28"/>
      <c r="AJ28" s="32"/>
    </row>
    <row r="29" spans="1:38" s="27" customFormat="1" ht="12.75" customHeight="1">
      <c r="A29" s="22"/>
      <c r="B29" s="22"/>
      <c r="C29" s="8"/>
      <c r="D29" s="34"/>
      <c r="E29" s="34"/>
      <c r="F29" s="15"/>
      <c r="G29" s="23"/>
      <c r="H29" s="24"/>
      <c r="I29" s="24"/>
      <c r="J29" s="24"/>
      <c r="K29" s="25"/>
      <c r="L29" s="26"/>
      <c r="M29" s="26"/>
      <c r="N29" s="26"/>
      <c r="O29" s="72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F29" s="28"/>
      <c r="AH29" s="65"/>
      <c r="AI29" s="28"/>
      <c r="AJ29" s="32"/>
    </row>
    <row r="30" spans="1:38" s="27" customFormat="1" ht="12.75" customHeight="1">
      <c r="A30" s="22"/>
      <c r="B30" s="22"/>
      <c r="C30" s="8"/>
      <c r="D30" s="34"/>
      <c r="E30" s="34"/>
      <c r="F30" s="15"/>
      <c r="G30" s="23"/>
      <c r="H30" s="24"/>
      <c r="I30" s="24"/>
      <c r="J30" s="24"/>
      <c r="K30" s="25"/>
      <c r="L30" s="26"/>
      <c r="M30" s="26"/>
      <c r="N30" s="26"/>
      <c r="O30" s="72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F30" s="28"/>
      <c r="AH30" s="65"/>
      <c r="AI30" s="28"/>
      <c r="AJ30" s="32"/>
    </row>
    <row r="31" spans="1:38" s="27" customFormat="1" ht="12.75" customHeight="1">
      <c r="A31" s="22"/>
      <c r="B31" s="22"/>
      <c r="C31" s="8"/>
      <c r="D31" s="34"/>
      <c r="E31" s="34"/>
      <c r="F31" s="15"/>
      <c r="G31" s="23"/>
      <c r="H31" s="24"/>
      <c r="I31" s="24"/>
      <c r="J31" s="24"/>
      <c r="K31" s="25"/>
      <c r="L31" s="26"/>
      <c r="M31" s="26"/>
      <c r="N31" s="26"/>
      <c r="O31" s="72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F31" s="28"/>
      <c r="AH31" s="65"/>
      <c r="AI31" s="28"/>
      <c r="AJ31" s="32"/>
    </row>
    <row r="32" spans="1:38" s="27" customFormat="1" ht="12.75" customHeight="1">
      <c r="A32" s="22"/>
      <c r="B32" s="22"/>
      <c r="C32" s="8"/>
      <c r="D32" s="34"/>
      <c r="E32" s="34"/>
      <c r="F32" s="15"/>
      <c r="G32" s="23"/>
      <c r="H32" s="24"/>
      <c r="I32" s="24"/>
      <c r="J32" s="24"/>
      <c r="K32" s="25"/>
      <c r="L32" s="26"/>
      <c r="M32" s="26"/>
      <c r="N32" s="26"/>
      <c r="O32" s="72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F32" s="28"/>
      <c r="AH32" s="65"/>
      <c r="AI32" s="28"/>
      <c r="AJ32" s="32"/>
    </row>
    <row r="33" spans="1:36" s="27" customFormat="1" ht="12.75" customHeight="1">
      <c r="A33" s="22"/>
      <c r="B33" s="22"/>
      <c r="C33" s="8"/>
      <c r="D33" s="34"/>
      <c r="E33" s="34"/>
      <c r="F33" s="15"/>
      <c r="G33" s="23"/>
      <c r="H33" s="24"/>
      <c r="I33" s="24"/>
      <c r="J33" s="24"/>
      <c r="K33" s="25"/>
      <c r="L33" s="26"/>
      <c r="M33" s="26"/>
      <c r="N33" s="26"/>
      <c r="O33" s="72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F33" s="28"/>
      <c r="AH33" s="65"/>
      <c r="AI33" s="28"/>
      <c r="AJ33" s="32"/>
    </row>
    <row r="34" spans="1:36" s="27" customFormat="1" ht="12.75" customHeight="1">
      <c r="A34" s="22"/>
      <c r="B34" s="22"/>
      <c r="C34" s="8"/>
      <c r="D34" s="34"/>
      <c r="E34" s="34"/>
      <c r="F34" s="15"/>
      <c r="G34" s="23"/>
      <c r="H34" s="24"/>
      <c r="I34" s="24"/>
      <c r="J34" s="24"/>
      <c r="K34" s="25"/>
      <c r="L34" s="26"/>
      <c r="M34" s="26"/>
      <c r="N34" s="26"/>
      <c r="O34" s="72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F34" s="28"/>
      <c r="AH34" s="65"/>
      <c r="AI34" s="28"/>
      <c r="AJ34" s="32"/>
    </row>
    <row r="35" spans="1:36" s="27" customFormat="1" ht="12.75" customHeight="1">
      <c r="A35" s="22"/>
      <c r="B35" s="22"/>
      <c r="C35" s="8"/>
      <c r="D35" s="34"/>
      <c r="E35" s="34"/>
      <c r="F35" s="15"/>
      <c r="G35" s="23"/>
      <c r="H35" s="24"/>
      <c r="I35" s="24"/>
      <c r="J35" s="24"/>
      <c r="K35" s="25"/>
      <c r="L35" s="26"/>
      <c r="M35" s="26"/>
      <c r="N35" s="26"/>
      <c r="O35" s="72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F35" s="28"/>
      <c r="AH35" s="65"/>
      <c r="AI35" s="28"/>
      <c r="AJ35" s="32"/>
    </row>
    <row r="36" spans="1:36" s="27" customFormat="1" ht="12.75" customHeight="1">
      <c r="A36" s="22"/>
      <c r="B36" s="22"/>
      <c r="C36" s="8"/>
      <c r="D36" s="34"/>
      <c r="E36" s="34"/>
      <c r="F36" s="15"/>
      <c r="G36" s="23"/>
      <c r="H36" s="24"/>
      <c r="I36" s="24"/>
      <c r="J36" s="24"/>
      <c r="K36" s="25"/>
      <c r="L36" s="26"/>
      <c r="M36" s="26"/>
      <c r="N36" s="26"/>
      <c r="O36" s="72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F36" s="28"/>
      <c r="AH36" s="65"/>
      <c r="AI36" s="28"/>
      <c r="AJ36" s="32"/>
    </row>
    <row r="37" spans="1:36" s="27" customFormat="1" ht="12.75" customHeight="1">
      <c r="A37" s="22"/>
      <c r="B37" s="22"/>
      <c r="C37" s="8"/>
      <c r="D37" s="34"/>
      <c r="E37" s="34"/>
      <c r="F37" s="15"/>
      <c r="G37" s="23"/>
      <c r="H37" s="24"/>
      <c r="I37" s="24"/>
      <c r="J37" s="24"/>
      <c r="K37" s="25"/>
      <c r="L37" s="26"/>
      <c r="M37" s="26"/>
      <c r="N37" s="26"/>
      <c r="O37" s="72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F37" s="28"/>
      <c r="AH37" s="65"/>
      <c r="AI37" s="28"/>
      <c r="AJ37" s="32"/>
    </row>
    <row r="38" spans="1:36" s="27" customFormat="1" ht="12.75" customHeight="1">
      <c r="A38" s="22"/>
      <c r="B38" s="22"/>
      <c r="C38" s="8"/>
      <c r="D38" s="34"/>
      <c r="E38" s="34"/>
      <c r="F38" s="15"/>
      <c r="G38" s="23"/>
      <c r="H38" s="24"/>
      <c r="I38" s="24"/>
      <c r="J38" s="24"/>
      <c r="K38" s="25"/>
      <c r="L38" s="26"/>
      <c r="M38" s="26"/>
      <c r="N38" s="26"/>
      <c r="O38" s="72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F38" s="28"/>
      <c r="AH38" s="65"/>
      <c r="AI38" s="28"/>
      <c r="AJ38" s="32"/>
    </row>
    <row r="39" spans="1:36" s="27" customFormat="1" ht="12.75" customHeight="1">
      <c r="A39" s="22"/>
      <c r="B39" s="22"/>
      <c r="C39" s="8"/>
      <c r="D39" s="34"/>
      <c r="E39" s="34"/>
      <c r="F39" s="15"/>
      <c r="G39" s="23"/>
      <c r="H39" s="24"/>
      <c r="I39" s="24"/>
      <c r="J39" s="24"/>
      <c r="K39" s="25"/>
      <c r="L39" s="26"/>
      <c r="M39" s="26"/>
      <c r="N39" s="26"/>
      <c r="O39" s="72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F39" s="28"/>
      <c r="AH39" s="65"/>
      <c r="AI39" s="28"/>
      <c r="AJ39" s="32"/>
    </row>
    <row r="40" spans="1:36" s="27" customFormat="1" ht="12.75" customHeight="1">
      <c r="A40" s="22"/>
      <c r="B40" s="22"/>
      <c r="C40" s="8"/>
      <c r="D40" s="34"/>
      <c r="E40" s="34"/>
      <c r="F40" s="15"/>
      <c r="G40" s="23"/>
      <c r="H40" s="24"/>
      <c r="I40" s="24"/>
      <c r="J40" s="24"/>
      <c r="K40" s="25"/>
      <c r="L40" s="26"/>
      <c r="M40" s="26"/>
      <c r="N40" s="26"/>
      <c r="O40" s="72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F40" s="28"/>
      <c r="AH40" s="65"/>
      <c r="AI40" s="28"/>
      <c r="AJ40" s="32"/>
    </row>
    <row r="41" spans="1:36" s="27" customFormat="1" ht="12.75" customHeight="1">
      <c r="A41" s="22"/>
      <c r="B41" s="22"/>
      <c r="C41" s="8"/>
      <c r="D41" s="34"/>
      <c r="E41" s="34"/>
      <c r="F41" s="15"/>
      <c r="G41" s="23"/>
      <c r="H41" s="24"/>
      <c r="I41" s="24"/>
      <c r="J41" s="24"/>
      <c r="K41" s="25"/>
      <c r="L41" s="26"/>
      <c r="M41" s="26"/>
      <c r="N41" s="26"/>
      <c r="O41" s="72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F41" s="28"/>
      <c r="AH41" s="65"/>
      <c r="AI41" s="28"/>
      <c r="AJ41" s="32"/>
    </row>
    <row r="42" spans="1:36" s="27" customFormat="1" ht="12.75" customHeight="1">
      <c r="A42" s="22"/>
      <c r="B42" s="22"/>
      <c r="C42" s="8"/>
      <c r="D42" s="34"/>
      <c r="E42" s="34"/>
      <c r="F42" s="15"/>
      <c r="G42" s="23"/>
      <c r="H42" s="24"/>
      <c r="I42" s="24"/>
      <c r="J42" s="24"/>
      <c r="K42" s="25"/>
      <c r="L42" s="26"/>
      <c r="M42" s="26"/>
      <c r="N42" s="26"/>
      <c r="O42" s="72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F42" s="28"/>
      <c r="AH42" s="65"/>
      <c r="AI42" s="28"/>
      <c r="AJ42" s="32"/>
    </row>
    <row r="43" spans="1:36" s="27" customFormat="1" ht="12.75" customHeight="1">
      <c r="A43" s="22"/>
      <c r="B43" s="22"/>
      <c r="C43" s="8"/>
      <c r="D43" s="34"/>
      <c r="E43" s="34"/>
      <c r="F43" s="15"/>
      <c r="G43" s="23"/>
      <c r="H43" s="24"/>
      <c r="I43" s="24"/>
      <c r="J43" s="24"/>
      <c r="K43" s="25"/>
      <c r="L43" s="26"/>
      <c r="M43" s="26"/>
      <c r="N43" s="26"/>
      <c r="O43" s="72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F43" s="28"/>
      <c r="AH43" s="65"/>
      <c r="AI43" s="28"/>
      <c r="AJ43" s="32"/>
    </row>
    <row r="44" spans="1:36" s="27" customFormat="1" ht="12.75" customHeight="1">
      <c r="A44" s="22"/>
      <c r="B44" s="22"/>
      <c r="C44" s="8"/>
      <c r="D44" s="34"/>
      <c r="E44" s="34"/>
      <c r="F44" s="15"/>
      <c r="G44" s="23"/>
      <c r="H44" s="24"/>
      <c r="I44" s="24"/>
      <c r="J44" s="24"/>
      <c r="K44" s="25"/>
      <c r="L44" s="26"/>
      <c r="M44" s="26"/>
      <c r="N44" s="26"/>
      <c r="O44" s="72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F44" s="28"/>
      <c r="AH44" s="65"/>
      <c r="AI44" s="28"/>
      <c r="AJ44" s="32"/>
    </row>
    <row r="45" spans="1:36" s="27" customFormat="1" ht="12.75" customHeight="1">
      <c r="A45" s="22"/>
      <c r="B45" s="22"/>
      <c r="C45" s="8"/>
      <c r="D45" s="34"/>
      <c r="E45" s="34"/>
      <c r="F45" s="15"/>
      <c r="G45" s="23"/>
      <c r="H45" s="24"/>
      <c r="I45" s="24"/>
      <c r="J45" s="24"/>
      <c r="K45" s="25"/>
      <c r="L45" s="26"/>
      <c r="M45" s="26"/>
      <c r="N45" s="26"/>
      <c r="O45" s="72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F45" s="28"/>
      <c r="AH45" s="65"/>
      <c r="AI45" s="28"/>
      <c r="AJ45" s="32"/>
    </row>
    <row r="46" spans="1:36" s="27" customFormat="1" ht="12.75" customHeight="1">
      <c r="A46" s="22"/>
      <c r="B46" s="22"/>
      <c r="C46" s="8"/>
      <c r="D46" s="34"/>
      <c r="E46" s="34"/>
      <c r="F46" s="15"/>
      <c r="G46" s="23"/>
      <c r="H46" s="24"/>
      <c r="I46" s="24"/>
      <c r="J46" s="24"/>
      <c r="K46" s="25"/>
      <c r="L46" s="26"/>
      <c r="M46" s="26"/>
      <c r="N46" s="26"/>
      <c r="O46" s="72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F46" s="28"/>
      <c r="AH46" s="65"/>
      <c r="AI46" s="28"/>
      <c r="AJ46" s="32"/>
    </row>
    <row r="47" spans="1:36" s="27" customFormat="1" ht="12.75" customHeight="1">
      <c r="A47" s="22"/>
      <c r="B47" s="22"/>
      <c r="C47" s="8"/>
      <c r="D47" s="34"/>
      <c r="E47" s="34"/>
      <c r="F47" s="15"/>
      <c r="G47" s="23"/>
      <c r="H47" s="24"/>
      <c r="I47" s="24"/>
      <c r="J47" s="24"/>
      <c r="K47" s="25"/>
      <c r="L47" s="26"/>
      <c r="M47" s="26"/>
      <c r="N47" s="26"/>
      <c r="O47" s="72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F47" s="28"/>
      <c r="AH47" s="65"/>
      <c r="AI47" s="28"/>
      <c r="AJ47" s="32"/>
    </row>
    <row r="48" spans="1:36" s="27" customFormat="1" ht="12.75" customHeight="1">
      <c r="A48" s="22"/>
      <c r="B48" s="22"/>
      <c r="C48" s="8"/>
      <c r="D48" s="34"/>
      <c r="E48" s="34"/>
      <c r="F48" s="15"/>
      <c r="G48" s="23"/>
      <c r="H48" s="24"/>
      <c r="I48" s="24"/>
      <c r="J48" s="24"/>
      <c r="K48" s="25"/>
      <c r="L48" s="26"/>
      <c r="M48" s="26"/>
      <c r="N48" s="26"/>
      <c r="O48" s="72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F48" s="28"/>
      <c r="AH48" s="65"/>
      <c r="AI48" s="28"/>
      <c r="AJ48" s="32"/>
    </row>
    <row r="49" spans="1:36" s="27" customFormat="1" ht="12.75" customHeight="1">
      <c r="A49" s="22"/>
      <c r="B49" s="22"/>
      <c r="C49" s="8"/>
      <c r="D49" s="34"/>
      <c r="E49" s="34"/>
      <c r="F49" s="15"/>
      <c r="G49" s="23"/>
      <c r="H49" s="24"/>
      <c r="I49" s="24"/>
      <c r="J49" s="24"/>
      <c r="K49" s="25"/>
      <c r="L49" s="26"/>
      <c r="M49" s="26"/>
      <c r="N49" s="26"/>
      <c r="O49" s="72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F49" s="28"/>
      <c r="AH49" s="65"/>
      <c r="AI49" s="28"/>
      <c r="AJ49" s="32"/>
    </row>
    <row r="50" spans="1:36" s="27" customFormat="1" ht="12.75" customHeight="1">
      <c r="A50" s="22"/>
      <c r="B50" s="22"/>
      <c r="C50" s="8"/>
      <c r="D50" s="34"/>
      <c r="E50" s="34"/>
      <c r="F50" s="15"/>
      <c r="G50" s="23"/>
      <c r="H50" s="24"/>
      <c r="I50" s="24"/>
      <c r="J50" s="24"/>
      <c r="K50" s="25"/>
      <c r="L50" s="26"/>
      <c r="M50" s="26"/>
      <c r="N50" s="26"/>
      <c r="O50" s="72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F50" s="28"/>
      <c r="AH50" s="65"/>
      <c r="AI50" s="28"/>
      <c r="AJ50" s="32"/>
    </row>
    <row r="51" spans="1:36" s="27" customFormat="1" ht="12.75" customHeight="1">
      <c r="A51" s="22"/>
      <c r="B51" s="22"/>
      <c r="C51" s="8"/>
      <c r="D51" s="34"/>
      <c r="E51" s="34"/>
      <c r="F51" s="15"/>
      <c r="G51" s="23"/>
      <c r="H51" s="24"/>
      <c r="I51" s="24"/>
      <c r="J51" s="24"/>
      <c r="K51" s="25"/>
      <c r="L51" s="26"/>
      <c r="M51" s="26"/>
      <c r="N51" s="26"/>
      <c r="O51" s="72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F51" s="28"/>
      <c r="AH51" s="65"/>
      <c r="AI51" s="28"/>
      <c r="AJ51" s="32"/>
    </row>
    <row r="52" spans="1:36" s="27" customFormat="1" ht="12.75" customHeight="1">
      <c r="A52" s="22"/>
      <c r="B52" s="22"/>
      <c r="C52" s="8"/>
      <c r="D52" s="34"/>
      <c r="E52" s="34"/>
      <c r="F52" s="15"/>
      <c r="G52" s="23"/>
      <c r="H52" s="24"/>
      <c r="I52" s="24"/>
      <c r="J52" s="24"/>
      <c r="K52" s="25"/>
      <c r="L52" s="26"/>
      <c r="M52" s="26"/>
      <c r="N52" s="26"/>
      <c r="O52" s="72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F52" s="28"/>
      <c r="AH52" s="65"/>
      <c r="AI52" s="28"/>
      <c r="AJ52" s="32"/>
    </row>
    <row r="53" spans="1:36" s="27" customFormat="1" ht="12.75" customHeight="1">
      <c r="A53" s="22"/>
      <c r="B53" s="22"/>
      <c r="C53" s="8"/>
      <c r="D53" s="34"/>
      <c r="E53" s="34"/>
      <c r="F53" s="15"/>
      <c r="G53" s="23"/>
      <c r="H53" s="24"/>
      <c r="I53" s="24"/>
      <c r="J53" s="24"/>
      <c r="K53" s="25"/>
      <c r="L53" s="26"/>
      <c r="M53" s="26"/>
      <c r="N53" s="26"/>
      <c r="O53" s="72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F53" s="28"/>
      <c r="AH53" s="65"/>
      <c r="AI53" s="28"/>
      <c r="AJ53" s="32"/>
    </row>
    <row r="54" spans="1:36" s="27" customFormat="1" ht="12.75" customHeight="1">
      <c r="A54" s="22"/>
      <c r="B54" s="22"/>
      <c r="C54" s="8"/>
      <c r="D54" s="34"/>
      <c r="E54" s="34"/>
      <c r="F54" s="15"/>
      <c r="G54" s="23"/>
      <c r="H54" s="24"/>
      <c r="I54" s="24"/>
      <c r="J54" s="24"/>
      <c r="K54" s="25"/>
      <c r="L54" s="26"/>
      <c r="M54" s="26"/>
      <c r="N54" s="26"/>
      <c r="O54" s="72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F54" s="28"/>
      <c r="AH54" s="65"/>
      <c r="AI54" s="28"/>
      <c r="AJ54" s="32"/>
    </row>
    <row r="55" spans="1:36" s="27" customFormat="1" ht="12.75" customHeight="1">
      <c r="A55" s="22"/>
      <c r="B55" s="22"/>
      <c r="C55" s="8"/>
      <c r="D55" s="34"/>
      <c r="E55" s="34"/>
      <c r="F55" s="15"/>
      <c r="G55" s="23"/>
      <c r="H55" s="24"/>
      <c r="I55" s="24"/>
      <c r="J55" s="24"/>
      <c r="K55" s="25"/>
      <c r="L55" s="26"/>
      <c r="M55" s="26"/>
      <c r="N55" s="26"/>
      <c r="O55" s="72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F55" s="28"/>
      <c r="AH55" s="65"/>
      <c r="AI55" s="28"/>
      <c r="AJ55" s="32"/>
    </row>
    <row r="56" spans="1:36" s="27" customFormat="1" ht="12.75" customHeight="1">
      <c r="A56" s="22"/>
      <c r="B56" s="22"/>
      <c r="C56" s="8"/>
      <c r="D56" s="34"/>
      <c r="E56" s="34"/>
      <c r="F56" s="15"/>
      <c r="G56" s="23"/>
      <c r="H56" s="24"/>
      <c r="I56" s="24"/>
      <c r="J56" s="24"/>
      <c r="K56" s="25"/>
      <c r="L56" s="26"/>
      <c r="M56" s="26"/>
      <c r="N56" s="26"/>
      <c r="O56" s="72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F56" s="28"/>
      <c r="AH56" s="65"/>
      <c r="AI56" s="28"/>
      <c r="AJ56" s="32"/>
    </row>
    <row r="57" spans="1:36" s="27" customFormat="1" ht="12.75" customHeight="1">
      <c r="A57" s="22"/>
      <c r="B57" s="22"/>
      <c r="C57" s="8"/>
      <c r="D57" s="34"/>
      <c r="E57" s="34"/>
      <c r="F57" s="15"/>
      <c r="G57" s="23"/>
      <c r="H57" s="24"/>
      <c r="I57" s="24"/>
      <c r="J57" s="24"/>
      <c r="K57" s="25"/>
      <c r="L57" s="26"/>
      <c r="M57" s="26"/>
      <c r="N57" s="26"/>
      <c r="O57" s="72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F57" s="28"/>
      <c r="AH57" s="65"/>
      <c r="AI57" s="28"/>
      <c r="AJ57" s="32"/>
    </row>
    <row r="58" spans="1:36" s="27" customFormat="1" ht="12.75" customHeight="1">
      <c r="A58" s="22"/>
      <c r="B58" s="22"/>
      <c r="C58" s="8"/>
      <c r="D58" s="34"/>
      <c r="E58" s="34"/>
      <c r="F58" s="15"/>
      <c r="G58" s="23"/>
      <c r="H58" s="24"/>
      <c r="I58" s="24"/>
      <c r="J58" s="24"/>
      <c r="K58" s="25"/>
      <c r="L58" s="26"/>
      <c r="M58" s="26"/>
      <c r="N58" s="26"/>
      <c r="O58" s="72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F58" s="28"/>
      <c r="AH58" s="65"/>
      <c r="AI58" s="28"/>
      <c r="AJ58" s="32"/>
    </row>
    <row r="59" spans="1:36" s="27" customFormat="1" ht="12.75" customHeight="1">
      <c r="A59" s="22"/>
      <c r="B59" s="22"/>
      <c r="C59" s="8"/>
      <c r="D59" s="34"/>
      <c r="E59" s="34"/>
      <c r="F59" s="15"/>
      <c r="G59" s="23"/>
      <c r="H59" s="24"/>
      <c r="I59" s="24"/>
      <c r="J59" s="24"/>
      <c r="K59" s="25"/>
      <c r="L59" s="26"/>
      <c r="M59" s="26"/>
      <c r="N59" s="26"/>
      <c r="O59" s="72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F59" s="28"/>
      <c r="AH59" s="65"/>
      <c r="AI59" s="28"/>
      <c r="AJ59" s="32"/>
    </row>
    <row r="60" spans="1:36" s="27" customFormat="1" ht="12.75" customHeight="1">
      <c r="A60" s="22"/>
      <c r="B60" s="22"/>
      <c r="C60" s="8"/>
      <c r="D60" s="34"/>
      <c r="E60" s="34"/>
      <c r="F60" s="15"/>
      <c r="G60" s="23"/>
      <c r="H60" s="24"/>
      <c r="I60" s="24"/>
      <c r="J60" s="24"/>
      <c r="K60" s="25"/>
      <c r="L60" s="26"/>
      <c r="M60" s="26"/>
      <c r="N60" s="26"/>
      <c r="O60" s="72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F60" s="28"/>
      <c r="AH60" s="65"/>
      <c r="AI60" s="28"/>
      <c r="AJ60" s="32"/>
    </row>
    <row r="61" spans="1:36" s="27" customFormat="1" ht="12.75" customHeight="1">
      <c r="A61" s="22"/>
      <c r="B61" s="22"/>
      <c r="C61" s="8"/>
      <c r="D61" s="34"/>
      <c r="E61" s="34"/>
      <c r="F61" s="15"/>
      <c r="G61" s="23"/>
      <c r="H61" s="24"/>
      <c r="I61" s="24"/>
      <c r="J61" s="24"/>
      <c r="K61" s="25"/>
      <c r="L61" s="26"/>
      <c r="M61" s="26"/>
      <c r="N61" s="26"/>
      <c r="O61" s="72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F61" s="28"/>
      <c r="AH61" s="65"/>
      <c r="AI61" s="28"/>
      <c r="AJ61" s="32"/>
    </row>
    <row r="62" spans="1:36" s="27" customFormat="1" ht="12.75" customHeight="1">
      <c r="A62" s="22"/>
      <c r="B62" s="22"/>
      <c r="C62" s="8"/>
      <c r="D62" s="34"/>
      <c r="E62" s="34"/>
      <c r="F62" s="15"/>
      <c r="G62" s="23"/>
      <c r="H62" s="24"/>
      <c r="I62" s="24"/>
      <c r="J62" s="24"/>
      <c r="K62" s="25"/>
      <c r="L62" s="26"/>
      <c r="M62" s="26"/>
      <c r="N62" s="26"/>
      <c r="O62" s="72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F62" s="28"/>
      <c r="AH62" s="65"/>
      <c r="AI62" s="28"/>
      <c r="AJ62" s="32"/>
    </row>
    <row r="63" spans="1:36" s="27" customFormat="1" ht="12.75" customHeight="1">
      <c r="A63" s="22"/>
      <c r="B63" s="22"/>
      <c r="C63" s="8"/>
      <c r="D63" s="34"/>
      <c r="E63" s="34"/>
      <c r="F63" s="15"/>
      <c r="G63" s="23"/>
      <c r="H63" s="24"/>
      <c r="I63" s="24"/>
      <c r="J63" s="24"/>
      <c r="K63" s="25"/>
      <c r="L63" s="26"/>
      <c r="M63" s="26"/>
      <c r="N63" s="26"/>
      <c r="O63" s="72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F63" s="28"/>
      <c r="AH63" s="65"/>
      <c r="AI63" s="28"/>
      <c r="AJ63" s="32"/>
    </row>
    <row r="64" spans="1:36" s="27" customFormat="1" ht="12.75" customHeight="1">
      <c r="A64" s="22"/>
      <c r="B64" s="22"/>
      <c r="C64" s="8"/>
      <c r="D64" s="34"/>
      <c r="E64" s="34"/>
      <c r="F64" s="15"/>
      <c r="G64" s="23"/>
      <c r="H64" s="24"/>
      <c r="I64" s="24"/>
      <c r="J64" s="24"/>
      <c r="K64" s="25"/>
      <c r="L64" s="26"/>
      <c r="M64" s="26"/>
      <c r="N64" s="26"/>
      <c r="O64" s="72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F64" s="28"/>
      <c r="AH64" s="65"/>
      <c r="AI64" s="28"/>
      <c r="AJ64" s="32"/>
    </row>
    <row r="65" spans="1:36" s="27" customFormat="1" ht="12.75" customHeight="1">
      <c r="A65" s="22"/>
      <c r="B65" s="22"/>
      <c r="C65" s="8"/>
      <c r="D65" s="34"/>
      <c r="E65" s="34"/>
      <c r="F65" s="15"/>
      <c r="G65" s="23"/>
      <c r="H65" s="24"/>
      <c r="I65" s="24"/>
      <c r="J65" s="24"/>
      <c r="K65" s="25"/>
      <c r="L65" s="26"/>
      <c r="M65" s="26"/>
      <c r="N65" s="26"/>
      <c r="O65" s="72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F65" s="28"/>
      <c r="AH65" s="65"/>
      <c r="AI65" s="28"/>
      <c r="AJ65" s="32"/>
    </row>
    <row r="66" spans="1:36" s="27" customFormat="1" ht="12.75" customHeight="1">
      <c r="A66" s="22"/>
      <c r="B66" s="22"/>
      <c r="C66" s="8"/>
      <c r="D66" s="34"/>
      <c r="E66" s="34"/>
      <c r="F66" s="15"/>
      <c r="G66" s="23"/>
      <c r="H66" s="24"/>
      <c r="I66" s="24"/>
      <c r="J66" s="24"/>
      <c r="K66" s="25"/>
      <c r="L66" s="26"/>
      <c r="M66" s="26"/>
      <c r="N66" s="26"/>
      <c r="O66" s="72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F66" s="28"/>
      <c r="AH66" s="65"/>
      <c r="AI66" s="28"/>
      <c r="AJ66" s="32"/>
    </row>
    <row r="67" spans="1:36" s="27" customFormat="1" ht="12.75" customHeight="1">
      <c r="A67" s="22"/>
      <c r="B67" s="22"/>
      <c r="C67" s="8"/>
      <c r="D67" s="34"/>
      <c r="E67" s="34"/>
      <c r="F67" s="15"/>
      <c r="G67" s="23"/>
      <c r="H67" s="24"/>
      <c r="I67" s="24"/>
      <c r="J67" s="24"/>
      <c r="K67" s="25"/>
      <c r="L67" s="26"/>
      <c r="M67" s="26"/>
      <c r="N67" s="26"/>
      <c r="O67" s="72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F67" s="28"/>
      <c r="AH67" s="65"/>
      <c r="AI67" s="28"/>
      <c r="AJ67" s="32"/>
    </row>
    <row r="68" spans="1:36" s="27" customFormat="1" ht="12.75" customHeight="1">
      <c r="A68" s="22"/>
      <c r="B68" s="22"/>
      <c r="C68" s="8"/>
      <c r="D68" s="34"/>
      <c r="E68" s="34"/>
      <c r="F68" s="15"/>
      <c r="G68" s="23"/>
      <c r="H68" s="24"/>
      <c r="I68" s="24"/>
      <c r="J68" s="24"/>
      <c r="K68" s="25"/>
      <c r="L68" s="26"/>
      <c r="M68" s="26"/>
      <c r="N68" s="26"/>
      <c r="O68" s="72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F68" s="28"/>
      <c r="AH68" s="65"/>
      <c r="AI68" s="28"/>
      <c r="AJ68" s="32"/>
    </row>
    <row r="69" spans="1:36" s="27" customFormat="1" ht="12.75" customHeight="1">
      <c r="A69" s="22"/>
      <c r="B69" s="22"/>
      <c r="C69" s="8"/>
      <c r="D69" s="34"/>
      <c r="E69" s="34"/>
      <c r="F69" s="15"/>
      <c r="G69" s="23"/>
      <c r="H69" s="24"/>
      <c r="I69" s="24"/>
      <c r="J69" s="24"/>
      <c r="K69" s="25"/>
      <c r="L69" s="26"/>
      <c r="M69" s="26"/>
      <c r="N69" s="26"/>
      <c r="O69" s="72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F69" s="28"/>
      <c r="AH69" s="65"/>
      <c r="AI69" s="28"/>
      <c r="AJ69" s="32"/>
    </row>
    <row r="70" spans="1:36" s="27" customFormat="1" ht="12.75" customHeight="1">
      <c r="A70" s="22"/>
      <c r="B70" s="22"/>
      <c r="C70" s="8"/>
      <c r="D70" s="34"/>
      <c r="E70" s="34"/>
      <c r="F70" s="15"/>
      <c r="G70" s="23"/>
      <c r="H70" s="24"/>
      <c r="I70" s="24"/>
      <c r="J70" s="24"/>
      <c r="K70" s="25"/>
      <c r="L70" s="26"/>
      <c r="M70" s="26"/>
      <c r="N70" s="26"/>
      <c r="O70" s="72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F70" s="28"/>
      <c r="AH70" s="65"/>
      <c r="AI70" s="28"/>
      <c r="AJ70" s="32"/>
    </row>
    <row r="71" spans="1:36" s="27" customFormat="1" ht="12.75" customHeight="1">
      <c r="A71" s="22"/>
      <c r="B71" s="22"/>
      <c r="C71" s="8"/>
      <c r="D71" s="34"/>
      <c r="E71" s="34"/>
      <c r="F71" s="15"/>
      <c r="G71" s="23"/>
      <c r="H71" s="24"/>
      <c r="I71" s="24"/>
      <c r="J71" s="24"/>
      <c r="K71" s="25"/>
      <c r="L71" s="26"/>
      <c r="M71" s="26"/>
      <c r="N71" s="26"/>
      <c r="O71" s="72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F71" s="28"/>
      <c r="AH71" s="65"/>
      <c r="AI71" s="28"/>
      <c r="AJ71" s="32"/>
    </row>
    <row r="72" spans="1:36" s="27" customFormat="1" ht="12.75" customHeight="1">
      <c r="A72" s="22"/>
      <c r="B72" s="22"/>
      <c r="C72" s="8"/>
      <c r="D72" s="34"/>
      <c r="E72" s="34"/>
      <c r="F72" s="15"/>
      <c r="G72" s="23"/>
      <c r="H72" s="24"/>
      <c r="I72" s="24"/>
      <c r="J72" s="24"/>
      <c r="K72" s="25"/>
      <c r="L72" s="26"/>
      <c r="M72" s="26"/>
      <c r="N72" s="26"/>
      <c r="O72" s="72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F72" s="28"/>
      <c r="AH72" s="65"/>
      <c r="AI72" s="28"/>
      <c r="AJ72" s="32"/>
    </row>
    <row r="73" spans="1:36" s="27" customFormat="1" ht="12.75" customHeight="1">
      <c r="A73" s="22"/>
      <c r="B73" s="22"/>
      <c r="C73" s="8"/>
      <c r="D73" s="34"/>
      <c r="E73" s="34"/>
      <c r="F73" s="15"/>
      <c r="G73" s="23"/>
      <c r="H73" s="24"/>
      <c r="I73" s="24"/>
      <c r="J73" s="24"/>
      <c r="K73" s="25"/>
      <c r="L73" s="26"/>
      <c r="M73" s="26"/>
      <c r="N73" s="26"/>
      <c r="O73" s="72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F73" s="28"/>
      <c r="AH73" s="65"/>
      <c r="AI73" s="28"/>
      <c r="AJ73" s="32"/>
    </row>
    <row r="74" spans="1:36" s="27" customFormat="1" ht="12.75" customHeight="1">
      <c r="A74" s="22"/>
      <c r="B74" s="22"/>
      <c r="C74" s="8"/>
      <c r="D74" s="34"/>
      <c r="E74" s="34"/>
      <c r="F74" s="15"/>
      <c r="G74" s="23"/>
      <c r="H74" s="24"/>
      <c r="I74" s="24"/>
      <c r="J74" s="24"/>
      <c r="K74" s="25"/>
      <c r="L74" s="26"/>
      <c r="M74" s="26"/>
      <c r="N74" s="26"/>
      <c r="O74" s="72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F74" s="28"/>
      <c r="AH74" s="65"/>
      <c r="AI74" s="28"/>
      <c r="AJ74" s="32"/>
    </row>
    <row r="75" spans="1:36" s="27" customFormat="1" ht="12.75" customHeight="1">
      <c r="A75" s="22"/>
      <c r="B75" s="22"/>
      <c r="C75" s="8"/>
      <c r="D75" s="34"/>
      <c r="E75" s="34"/>
      <c r="F75" s="15"/>
      <c r="G75" s="23"/>
      <c r="H75" s="24"/>
      <c r="I75" s="24"/>
      <c r="J75" s="24"/>
      <c r="K75" s="25"/>
      <c r="L75" s="26"/>
      <c r="M75" s="26"/>
      <c r="N75" s="26"/>
      <c r="O75" s="72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F75" s="28"/>
      <c r="AH75" s="65"/>
      <c r="AI75" s="28"/>
      <c r="AJ75" s="32"/>
    </row>
    <row r="76" spans="1:36" s="27" customFormat="1" ht="12.75" customHeight="1">
      <c r="A76" s="22"/>
      <c r="B76" s="22"/>
      <c r="C76" s="8"/>
      <c r="D76" s="34"/>
      <c r="E76" s="34"/>
      <c r="F76" s="15"/>
      <c r="G76" s="23"/>
      <c r="H76" s="24"/>
      <c r="I76" s="24"/>
      <c r="J76" s="24"/>
      <c r="K76" s="25"/>
      <c r="L76" s="26"/>
      <c r="M76" s="26"/>
      <c r="N76" s="26"/>
      <c r="O76" s="72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F76" s="28"/>
      <c r="AH76" s="65"/>
      <c r="AI76" s="28"/>
      <c r="AJ76" s="32"/>
    </row>
    <row r="77" spans="1:36" s="27" customFormat="1" ht="12.75" customHeight="1">
      <c r="A77" s="22"/>
      <c r="B77" s="22"/>
      <c r="C77" s="8"/>
      <c r="D77" s="34"/>
      <c r="E77" s="34"/>
      <c r="F77" s="15"/>
      <c r="G77" s="23"/>
      <c r="H77" s="24"/>
      <c r="I77" s="24"/>
      <c r="J77" s="24"/>
      <c r="K77" s="25"/>
      <c r="L77" s="26"/>
      <c r="M77" s="26"/>
      <c r="N77" s="26"/>
      <c r="O77" s="72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F77" s="28"/>
      <c r="AH77" s="65"/>
      <c r="AI77" s="28"/>
      <c r="AJ77" s="32"/>
    </row>
    <row r="78" spans="1:36" s="27" customFormat="1" ht="12.75" customHeight="1">
      <c r="A78" s="22"/>
      <c r="B78" s="22"/>
      <c r="C78" s="8"/>
      <c r="D78" s="34"/>
      <c r="E78" s="34"/>
      <c r="F78" s="15"/>
      <c r="G78" s="23"/>
      <c r="H78" s="24"/>
      <c r="I78" s="24"/>
      <c r="J78" s="24"/>
      <c r="K78" s="25"/>
      <c r="L78" s="26"/>
      <c r="M78" s="26"/>
      <c r="N78" s="26"/>
      <c r="O78" s="72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F78" s="28"/>
      <c r="AH78" s="65"/>
      <c r="AI78" s="28"/>
      <c r="AJ78" s="32"/>
    </row>
    <row r="79" spans="1:36" s="27" customFormat="1" ht="12.75" customHeight="1">
      <c r="A79" s="22"/>
      <c r="B79" s="22"/>
      <c r="C79" s="8"/>
      <c r="D79" s="34"/>
      <c r="E79" s="34"/>
      <c r="F79" s="15"/>
      <c r="G79" s="23"/>
      <c r="H79" s="24"/>
      <c r="I79" s="24"/>
      <c r="J79" s="24"/>
      <c r="K79" s="25"/>
      <c r="L79" s="26"/>
      <c r="M79" s="26"/>
      <c r="N79" s="26"/>
      <c r="O79" s="72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F79" s="28"/>
      <c r="AH79" s="65"/>
      <c r="AI79" s="28"/>
      <c r="AJ79" s="32"/>
    </row>
    <row r="80" spans="1:36" s="27" customFormat="1" ht="12.75" customHeight="1">
      <c r="A80" s="22"/>
      <c r="B80" s="22"/>
      <c r="C80" s="8"/>
      <c r="D80" s="34"/>
      <c r="E80" s="34"/>
      <c r="F80" s="15"/>
      <c r="G80" s="23"/>
      <c r="H80" s="24"/>
      <c r="I80" s="24"/>
      <c r="J80" s="24"/>
      <c r="K80" s="25"/>
      <c r="L80" s="26"/>
      <c r="M80" s="26"/>
      <c r="N80" s="26"/>
      <c r="O80" s="72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F80" s="28"/>
      <c r="AH80" s="65"/>
      <c r="AI80" s="28"/>
      <c r="AJ80" s="32"/>
    </row>
    <row r="81" spans="1:36" s="27" customFormat="1" ht="12.75" customHeight="1">
      <c r="A81" s="22"/>
      <c r="B81" s="22"/>
      <c r="C81" s="8"/>
      <c r="D81" s="34"/>
      <c r="E81" s="34"/>
      <c r="F81" s="15"/>
      <c r="G81" s="23"/>
      <c r="H81" s="24"/>
      <c r="I81" s="24"/>
      <c r="J81" s="24"/>
      <c r="K81" s="25"/>
      <c r="L81" s="26"/>
      <c r="M81" s="26"/>
      <c r="N81" s="26"/>
      <c r="O81" s="72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F81" s="28"/>
      <c r="AH81" s="65"/>
      <c r="AI81" s="28"/>
      <c r="AJ81" s="32"/>
    </row>
    <row r="82" spans="1:36" s="27" customFormat="1" ht="12.75" customHeight="1">
      <c r="A82" s="22"/>
      <c r="B82" s="22"/>
      <c r="C82" s="8"/>
      <c r="D82" s="34"/>
      <c r="E82" s="34"/>
      <c r="F82" s="15"/>
      <c r="G82" s="23"/>
      <c r="H82" s="24"/>
      <c r="I82" s="24"/>
      <c r="J82" s="24"/>
      <c r="K82" s="25"/>
      <c r="L82" s="26"/>
      <c r="M82" s="26"/>
      <c r="N82" s="26"/>
      <c r="O82" s="72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F82" s="28"/>
      <c r="AH82" s="65"/>
      <c r="AI82" s="28"/>
      <c r="AJ82" s="32"/>
    </row>
    <row r="83" spans="1:36" s="27" customFormat="1" ht="12.75" customHeight="1">
      <c r="A83" s="22"/>
      <c r="B83" s="22"/>
      <c r="C83" s="8"/>
      <c r="D83" s="34"/>
      <c r="E83" s="34"/>
      <c r="F83" s="15"/>
      <c r="G83" s="23"/>
      <c r="H83" s="24"/>
      <c r="I83" s="24"/>
      <c r="J83" s="24"/>
      <c r="K83" s="25"/>
      <c r="L83" s="26"/>
      <c r="M83" s="26"/>
      <c r="N83" s="26"/>
      <c r="O83" s="72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F83" s="28"/>
      <c r="AH83" s="65"/>
      <c r="AI83" s="28"/>
      <c r="AJ83" s="32"/>
    </row>
    <row r="84" spans="1:36" s="27" customFormat="1" ht="12.75" customHeight="1">
      <c r="A84" s="22"/>
      <c r="B84" s="22"/>
      <c r="C84" s="8"/>
      <c r="D84" s="34"/>
      <c r="E84" s="34"/>
      <c r="F84" s="15"/>
      <c r="G84" s="23"/>
      <c r="H84" s="24"/>
      <c r="I84" s="24"/>
      <c r="J84" s="24"/>
      <c r="K84" s="25"/>
      <c r="L84" s="26"/>
      <c r="M84" s="26"/>
      <c r="N84" s="26"/>
      <c r="O84" s="72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F84" s="28"/>
      <c r="AH84" s="65"/>
      <c r="AI84" s="28"/>
      <c r="AJ84" s="32"/>
    </row>
    <row r="85" spans="1:36" s="27" customFormat="1" ht="12.75" customHeight="1">
      <c r="A85" s="22"/>
      <c r="B85" s="22"/>
      <c r="C85" s="8"/>
      <c r="D85" s="34"/>
      <c r="E85" s="34"/>
      <c r="F85" s="15"/>
      <c r="G85" s="23"/>
      <c r="H85" s="24"/>
      <c r="I85" s="24"/>
      <c r="J85" s="24"/>
      <c r="K85" s="25"/>
      <c r="L85" s="26"/>
      <c r="M85" s="26"/>
      <c r="N85" s="26"/>
      <c r="O85" s="72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F85" s="28"/>
      <c r="AH85" s="65"/>
      <c r="AI85" s="28"/>
      <c r="AJ85" s="32"/>
    </row>
    <row r="86" spans="1:36" s="27" customFormat="1" ht="12.75" customHeight="1">
      <c r="A86" s="22"/>
      <c r="B86" s="22"/>
      <c r="C86" s="8"/>
      <c r="D86" s="34"/>
      <c r="E86" s="34"/>
      <c r="F86" s="15"/>
      <c r="G86" s="23"/>
      <c r="H86" s="24"/>
      <c r="I86" s="24"/>
      <c r="J86" s="24"/>
      <c r="K86" s="25"/>
      <c r="L86" s="26"/>
      <c r="M86" s="26"/>
      <c r="N86" s="26"/>
      <c r="O86" s="72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F86" s="28"/>
      <c r="AH86" s="65"/>
      <c r="AI86" s="28"/>
      <c r="AJ86" s="32"/>
    </row>
    <row r="87" spans="1:36" s="27" customFormat="1" ht="12.75" customHeight="1">
      <c r="A87" s="22"/>
      <c r="B87" s="22"/>
      <c r="C87" s="8"/>
      <c r="D87" s="34"/>
      <c r="E87" s="34"/>
      <c r="F87" s="15"/>
      <c r="G87" s="23"/>
      <c r="H87" s="24"/>
      <c r="I87" s="24"/>
      <c r="J87" s="24"/>
      <c r="K87" s="25"/>
      <c r="L87" s="26"/>
      <c r="M87" s="26"/>
      <c r="N87" s="26"/>
      <c r="O87" s="72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F87" s="28"/>
      <c r="AH87" s="65"/>
      <c r="AI87" s="28"/>
      <c r="AJ87" s="32"/>
    </row>
    <row r="88" spans="1:36" s="27" customFormat="1" ht="12.75" customHeight="1">
      <c r="A88" s="22"/>
      <c r="B88" s="22"/>
      <c r="C88" s="8"/>
      <c r="D88" s="34"/>
      <c r="E88" s="34"/>
      <c r="F88" s="15"/>
      <c r="G88" s="23"/>
      <c r="H88" s="24"/>
      <c r="I88" s="24"/>
      <c r="J88" s="24"/>
      <c r="K88" s="25"/>
      <c r="L88" s="26"/>
      <c r="M88" s="26"/>
      <c r="N88" s="26"/>
      <c r="O88" s="72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F88" s="28"/>
      <c r="AH88" s="65"/>
      <c r="AI88" s="28"/>
      <c r="AJ88" s="32"/>
    </row>
    <row r="89" spans="1:36" s="27" customFormat="1" ht="12.75" customHeight="1">
      <c r="A89" s="22"/>
      <c r="B89" s="22"/>
      <c r="C89" s="8"/>
      <c r="D89" s="34"/>
      <c r="E89" s="34"/>
      <c r="F89" s="15"/>
      <c r="G89" s="23"/>
      <c r="H89" s="24"/>
      <c r="I89" s="24"/>
      <c r="J89" s="24"/>
      <c r="K89" s="25"/>
      <c r="L89" s="26"/>
      <c r="M89" s="26"/>
      <c r="N89" s="26"/>
      <c r="O89" s="72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F89" s="28"/>
      <c r="AH89" s="65"/>
      <c r="AI89" s="28"/>
      <c r="AJ89" s="32"/>
    </row>
    <row r="90" spans="1:36" s="27" customFormat="1" ht="12.75" customHeight="1">
      <c r="A90" s="22"/>
      <c r="B90" s="22"/>
      <c r="C90" s="8"/>
      <c r="D90" s="34"/>
      <c r="E90" s="34"/>
      <c r="F90" s="15"/>
      <c r="G90" s="23"/>
      <c r="H90" s="24"/>
      <c r="I90" s="24"/>
      <c r="J90" s="24"/>
      <c r="K90" s="25"/>
      <c r="L90" s="26"/>
      <c r="M90" s="26"/>
      <c r="N90" s="26"/>
      <c r="O90" s="72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F90" s="28"/>
      <c r="AH90" s="65"/>
      <c r="AI90" s="28"/>
      <c r="AJ90" s="32"/>
    </row>
    <row r="91" spans="1:36" s="27" customFormat="1" ht="12.75" customHeight="1">
      <c r="A91" s="22"/>
      <c r="B91" s="22"/>
      <c r="C91" s="8"/>
      <c r="D91" s="34"/>
      <c r="E91" s="34"/>
      <c r="F91" s="15"/>
      <c r="G91" s="23"/>
      <c r="H91" s="24"/>
      <c r="I91" s="24"/>
      <c r="J91" s="24"/>
      <c r="K91" s="25"/>
      <c r="L91" s="26"/>
      <c r="M91" s="26"/>
      <c r="N91" s="26"/>
      <c r="O91" s="72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F91" s="28"/>
      <c r="AH91" s="65"/>
      <c r="AI91" s="28"/>
      <c r="AJ91" s="32"/>
    </row>
    <row r="92" spans="1:36" s="27" customFormat="1" ht="12.75" customHeight="1">
      <c r="A92" s="22"/>
      <c r="B92" s="22"/>
      <c r="C92" s="8"/>
      <c r="D92" s="34"/>
      <c r="E92" s="34"/>
      <c r="F92" s="15"/>
      <c r="G92" s="23"/>
      <c r="H92" s="24"/>
      <c r="I92" s="24"/>
      <c r="J92" s="24"/>
      <c r="K92" s="25"/>
      <c r="L92" s="26"/>
      <c r="M92" s="26"/>
      <c r="N92" s="26"/>
      <c r="O92" s="72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F92" s="28"/>
      <c r="AH92" s="65"/>
      <c r="AI92" s="28"/>
      <c r="AJ92" s="32"/>
    </row>
    <row r="93" spans="1:36" s="27" customFormat="1" ht="12.75" customHeight="1">
      <c r="A93" s="22"/>
      <c r="B93" s="22"/>
      <c r="C93" s="8"/>
      <c r="D93" s="34"/>
      <c r="E93" s="34"/>
      <c r="F93" s="15"/>
      <c r="G93" s="23"/>
      <c r="H93" s="24"/>
      <c r="I93" s="24"/>
      <c r="J93" s="24"/>
      <c r="K93" s="25"/>
      <c r="L93" s="26"/>
      <c r="M93" s="26"/>
      <c r="N93" s="26"/>
      <c r="O93" s="72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F93" s="28"/>
      <c r="AH93" s="65"/>
      <c r="AI93" s="28"/>
      <c r="AJ93" s="32"/>
    </row>
    <row r="94" spans="1:36" s="27" customFormat="1" ht="12.75" customHeight="1">
      <c r="A94" s="22"/>
      <c r="B94" s="22"/>
      <c r="C94" s="8"/>
      <c r="D94" s="34"/>
      <c r="E94" s="34"/>
      <c r="F94" s="15"/>
      <c r="G94" s="23"/>
      <c r="H94" s="24"/>
      <c r="I94" s="24"/>
      <c r="J94" s="24"/>
      <c r="K94" s="25"/>
      <c r="L94" s="26"/>
      <c r="M94" s="26"/>
      <c r="N94" s="26"/>
      <c r="O94" s="72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F94" s="28"/>
      <c r="AH94" s="65"/>
      <c r="AI94" s="28"/>
      <c r="AJ94" s="32"/>
    </row>
    <row r="95" spans="1:36" s="27" customFormat="1" ht="12.75" customHeight="1">
      <c r="A95" s="22"/>
      <c r="B95" s="22"/>
      <c r="C95" s="8"/>
      <c r="D95" s="34"/>
      <c r="E95" s="34"/>
      <c r="F95" s="15"/>
      <c r="G95" s="23"/>
      <c r="H95" s="24"/>
      <c r="I95" s="24"/>
      <c r="J95" s="24"/>
      <c r="K95" s="25"/>
      <c r="L95" s="26"/>
      <c r="M95" s="26"/>
      <c r="N95" s="26"/>
      <c r="O95" s="72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F95" s="28"/>
      <c r="AH95" s="65"/>
      <c r="AI95" s="28"/>
      <c r="AJ95" s="32"/>
    </row>
    <row r="96" spans="1:36" s="27" customFormat="1" ht="12.75" customHeight="1">
      <c r="A96" s="22"/>
      <c r="B96" s="22"/>
      <c r="C96" s="8"/>
      <c r="D96" s="34"/>
      <c r="E96" s="34"/>
      <c r="F96" s="15"/>
      <c r="G96" s="23"/>
      <c r="H96" s="24"/>
      <c r="I96" s="24"/>
      <c r="J96" s="24"/>
      <c r="K96" s="25"/>
      <c r="L96" s="26"/>
      <c r="M96" s="26"/>
      <c r="N96" s="26"/>
      <c r="O96" s="72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F96" s="28"/>
      <c r="AH96" s="65"/>
      <c r="AI96" s="28"/>
      <c r="AJ96" s="32"/>
    </row>
    <row r="97" spans="1:36" s="27" customFormat="1" ht="12.75" customHeight="1">
      <c r="A97" s="22"/>
      <c r="B97" s="22"/>
      <c r="C97" s="8"/>
      <c r="D97" s="34"/>
      <c r="E97" s="34"/>
      <c r="F97" s="15"/>
      <c r="G97" s="23"/>
      <c r="H97" s="24"/>
      <c r="I97" s="24"/>
      <c r="J97" s="24"/>
      <c r="K97" s="25"/>
      <c r="L97" s="26"/>
      <c r="M97" s="26"/>
      <c r="N97" s="26"/>
      <c r="O97" s="72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F97" s="28"/>
      <c r="AH97" s="65"/>
      <c r="AI97" s="28"/>
      <c r="AJ97" s="32"/>
    </row>
    <row r="98" spans="1:36" s="27" customFormat="1" ht="12.75" customHeight="1">
      <c r="A98" s="22"/>
      <c r="B98" s="22"/>
      <c r="C98" s="8"/>
      <c r="D98" s="34"/>
      <c r="E98" s="34"/>
      <c r="F98" s="15"/>
      <c r="G98" s="23"/>
      <c r="H98" s="24"/>
      <c r="I98" s="24"/>
      <c r="J98" s="24"/>
      <c r="K98" s="25"/>
      <c r="L98" s="26"/>
      <c r="M98" s="26"/>
      <c r="N98" s="26"/>
      <c r="O98" s="72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F98" s="28"/>
      <c r="AH98" s="65"/>
      <c r="AI98" s="28"/>
      <c r="AJ98" s="32"/>
    </row>
    <row r="99" spans="1:36" s="27" customFormat="1" ht="12.75" customHeight="1">
      <c r="A99" s="22"/>
      <c r="B99" s="22"/>
      <c r="C99" s="8"/>
      <c r="D99" s="34"/>
      <c r="E99" s="34"/>
      <c r="F99" s="15"/>
      <c r="G99" s="23"/>
      <c r="H99" s="24"/>
      <c r="I99" s="24"/>
      <c r="J99" s="24"/>
      <c r="K99" s="25"/>
      <c r="L99" s="26"/>
      <c r="M99" s="26"/>
      <c r="N99" s="26"/>
      <c r="O99" s="72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F99" s="28"/>
      <c r="AH99" s="65"/>
      <c r="AI99" s="28"/>
      <c r="AJ99" s="32"/>
    </row>
    <row r="100" spans="1:36" s="27" customFormat="1" ht="12.75" customHeight="1">
      <c r="A100" s="22"/>
      <c r="B100" s="22"/>
      <c r="C100" s="8"/>
      <c r="D100" s="34"/>
      <c r="E100" s="34"/>
      <c r="F100" s="15"/>
      <c r="G100" s="23"/>
      <c r="H100" s="24"/>
      <c r="I100" s="24"/>
      <c r="J100" s="24"/>
      <c r="K100" s="25"/>
      <c r="L100" s="26"/>
      <c r="M100" s="26"/>
      <c r="N100" s="26"/>
      <c r="O100" s="72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F100" s="28"/>
      <c r="AH100" s="65"/>
      <c r="AI100" s="28"/>
      <c r="AJ100" s="32"/>
    </row>
    <row r="101" spans="1:36" s="27" customFormat="1" ht="12.75" customHeight="1">
      <c r="A101" s="22"/>
      <c r="B101" s="22"/>
      <c r="C101" s="8"/>
      <c r="D101" s="34"/>
      <c r="E101" s="34"/>
      <c r="F101" s="15"/>
      <c r="G101" s="23"/>
      <c r="H101" s="24"/>
      <c r="I101" s="24"/>
      <c r="J101" s="24"/>
      <c r="K101" s="25"/>
      <c r="L101" s="26"/>
      <c r="M101" s="26"/>
      <c r="N101" s="26"/>
      <c r="O101" s="72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F101" s="28"/>
      <c r="AH101" s="65"/>
      <c r="AI101" s="28"/>
      <c r="AJ101" s="32"/>
    </row>
    <row r="102" spans="1:36" s="27" customFormat="1" ht="12.75" customHeight="1">
      <c r="A102" s="22"/>
      <c r="B102" s="22"/>
      <c r="C102" s="8"/>
      <c r="D102" s="34"/>
      <c r="E102" s="34"/>
      <c r="F102" s="15"/>
      <c r="G102" s="23"/>
      <c r="H102" s="24"/>
      <c r="I102" s="24"/>
      <c r="J102" s="24"/>
      <c r="K102" s="25"/>
      <c r="L102" s="26"/>
      <c r="M102" s="26"/>
      <c r="N102" s="26"/>
      <c r="O102" s="72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F102" s="28"/>
      <c r="AH102" s="65"/>
      <c r="AI102" s="28"/>
      <c r="AJ102" s="32"/>
    </row>
    <row r="103" spans="1:36" s="27" customFormat="1" ht="12.75" customHeight="1">
      <c r="A103" s="22"/>
      <c r="B103" s="22"/>
      <c r="C103" s="8"/>
      <c r="D103" s="34"/>
      <c r="E103" s="34"/>
      <c r="F103" s="15"/>
      <c r="G103" s="23"/>
      <c r="H103" s="24"/>
      <c r="I103" s="24"/>
      <c r="J103" s="24"/>
      <c r="K103" s="25"/>
      <c r="L103" s="26"/>
      <c r="M103" s="26"/>
      <c r="N103" s="26"/>
      <c r="O103" s="72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F103" s="28"/>
      <c r="AH103" s="65"/>
      <c r="AI103" s="28"/>
      <c r="AJ103" s="32"/>
    </row>
    <row r="104" spans="1:36" s="27" customFormat="1" ht="12.75" customHeight="1">
      <c r="A104" s="22"/>
      <c r="B104" s="22"/>
      <c r="C104" s="8"/>
      <c r="D104" s="34"/>
      <c r="E104" s="34"/>
      <c r="F104" s="15"/>
      <c r="G104" s="23"/>
      <c r="H104" s="24"/>
      <c r="I104" s="24"/>
      <c r="J104" s="24"/>
      <c r="K104" s="25"/>
      <c r="L104" s="26"/>
      <c r="M104" s="26"/>
      <c r="N104" s="26"/>
      <c r="O104" s="72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F104" s="28"/>
      <c r="AH104" s="65"/>
      <c r="AI104" s="28"/>
      <c r="AJ104" s="32"/>
    </row>
    <row r="105" spans="1:36" s="27" customFormat="1" ht="12.75" customHeight="1">
      <c r="A105" s="22"/>
      <c r="B105" s="22"/>
      <c r="C105" s="8"/>
      <c r="D105" s="34"/>
      <c r="E105" s="34"/>
      <c r="F105" s="15"/>
      <c r="G105" s="23"/>
      <c r="H105" s="24"/>
      <c r="I105" s="24"/>
      <c r="J105" s="24"/>
      <c r="K105" s="25"/>
      <c r="L105" s="26"/>
      <c r="M105" s="26"/>
      <c r="N105" s="26"/>
      <c r="O105" s="72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F105" s="28"/>
      <c r="AH105" s="65"/>
      <c r="AI105" s="28"/>
      <c r="AJ105" s="32"/>
    </row>
    <row r="106" spans="1:36" s="27" customFormat="1" ht="12.75" customHeight="1">
      <c r="A106" s="22"/>
      <c r="B106" s="22"/>
      <c r="C106" s="8"/>
      <c r="D106" s="34"/>
      <c r="E106" s="34"/>
      <c r="F106" s="15"/>
      <c r="G106" s="23"/>
      <c r="H106" s="24"/>
      <c r="I106" s="24"/>
      <c r="J106" s="24"/>
      <c r="K106" s="25"/>
      <c r="L106" s="26"/>
      <c r="M106" s="26"/>
      <c r="N106" s="26"/>
      <c r="O106" s="72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F106" s="28"/>
      <c r="AH106" s="65"/>
      <c r="AI106" s="28"/>
      <c r="AJ106" s="32"/>
    </row>
    <row r="107" spans="1:36" s="27" customFormat="1" ht="12.75" customHeight="1">
      <c r="A107" s="22"/>
      <c r="B107" s="22"/>
      <c r="C107" s="8"/>
      <c r="D107" s="34"/>
      <c r="E107" s="34"/>
      <c r="F107" s="15"/>
      <c r="G107" s="23"/>
      <c r="H107" s="24"/>
      <c r="I107" s="24"/>
      <c r="J107" s="24"/>
      <c r="K107" s="25"/>
      <c r="L107" s="26"/>
      <c r="M107" s="26"/>
      <c r="N107" s="26"/>
      <c r="O107" s="72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F107" s="28"/>
      <c r="AH107" s="65"/>
      <c r="AI107" s="28"/>
      <c r="AJ107" s="32"/>
    </row>
    <row r="108" spans="1:36" s="27" customFormat="1" ht="12.75" customHeight="1">
      <c r="A108" s="22"/>
      <c r="B108" s="22"/>
      <c r="C108" s="8"/>
      <c r="D108" s="34"/>
      <c r="E108" s="34"/>
      <c r="F108" s="15"/>
      <c r="G108" s="23"/>
      <c r="H108" s="24"/>
      <c r="I108" s="24"/>
      <c r="J108" s="24"/>
      <c r="K108" s="25"/>
      <c r="L108" s="26"/>
      <c r="M108" s="26"/>
      <c r="N108" s="26"/>
      <c r="O108" s="72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F108" s="28"/>
      <c r="AH108" s="65"/>
      <c r="AI108" s="28"/>
      <c r="AJ108" s="32"/>
    </row>
    <row r="109" spans="1:36" s="27" customFormat="1" ht="12.75" customHeight="1">
      <c r="A109" s="22"/>
      <c r="B109" s="22"/>
      <c r="C109" s="8"/>
      <c r="D109" s="34"/>
      <c r="E109" s="34"/>
      <c r="F109" s="15"/>
      <c r="G109" s="23"/>
      <c r="H109" s="24"/>
      <c r="I109" s="24"/>
      <c r="J109" s="24"/>
      <c r="K109" s="25"/>
      <c r="L109" s="26"/>
      <c r="M109" s="26"/>
      <c r="N109" s="26"/>
      <c r="O109" s="72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F109" s="28"/>
      <c r="AH109" s="65"/>
      <c r="AI109" s="28"/>
      <c r="AJ109" s="32"/>
    </row>
    <row r="110" spans="1:36" s="27" customFormat="1" ht="12.75" customHeight="1">
      <c r="A110" s="22"/>
      <c r="B110" s="22"/>
      <c r="C110" s="8"/>
      <c r="D110" s="34"/>
      <c r="E110" s="34"/>
      <c r="F110" s="15"/>
      <c r="G110" s="23"/>
      <c r="H110" s="24"/>
      <c r="I110" s="24"/>
      <c r="J110" s="24"/>
      <c r="K110" s="25"/>
      <c r="L110" s="26"/>
      <c r="M110" s="26"/>
      <c r="N110" s="26"/>
      <c r="O110" s="72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F110" s="28"/>
      <c r="AH110" s="65"/>
      <c r="AI110" s="28"/>
      <c r="AJ110" s="32"/>
    </row>
    <row r="111" spans="1:36" s="27" customFormat="1" ht="12.75" customHeight="1">
      <c r="A111" s="22"/>
      <c r="B111" s="22"/>
      <c r="C111" s="8"/>
      <c r="D111" s="34"/>
      <c r="E111" s="34"/>
      <c r="F111" s="15"/>
      <c r="G111" s="23"/>
      <c r="H111" s="24"/>
      <c r="I111" s="24"/>
      <c r="J111" s="24"/>
      <c r="K111" s="25"/>
      <c r="L111" s="26"/>
      <c r="M111" s="26"/>
      <c r="N111" s="26"/>
      <c r="O111" s="72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F111" s="28"/>
      <c r="AH111" s="65"/>
      <c r="AI111" s="28"/>
      <c r="AJ111" s="32"/>
    </row>
    <row r="112" spans="1:36" s="27" customFormat="1" ht="12.75" customHeight="1">
      <c r="A112" s="22"/>
      <c r="B112" s="22"/>
      <c r="C112" s="8"/>
      <c r="D112" s="34"/>
      <c r="E112" s="34"/>
      <c r="F112" s="15"/>
      <c r="G112" s="23"/>
      <c r="H112" s="24"/>
      <c r="I112" s="24"/>
      <c r="J112" s="24"/>
      <c r="K112" s="25"/>
      <c r="L112" s="26"/>
      <c r="M112" s="26"/>
      <c r="N112" s="26"/>
      <c r="O112" s="72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F112" s="28"/>
      <c r="AH112" s="65"/>
      <c r="AI112" s="28"/>
      <c r="AJ112" s="32"/>
    </row>
    <row r="113" spans="1:36" s="27" customFormat="1" ht="12.75" customHeight="1">
      <c r="A113" s="22"/>
      <c r="B113" s="22"/>
      <c r="C113" s="8"/>
      <c r="D113" s="34"/>
      <c r="E113" s="34"/>
      <c r="F113" s="15"/>
      <c r="G113" s="23"/>
      <c r="H113" s="24"/>
      <c r="I113" s="24"/>
      <c r="J113" s="24"/>
      <c r="K113" s="25"/>
      <c r="L113" s="26"/>
      <c r="M113" s="26"/>
      <c r="N113" s="26"/>
      <c r="O113" s="72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F113" s="28"/>
      <c r="AH113" s="65"/>
      <c r="AI113" s="28"/>
      <c r="AJ113" s="32"/>
    </row>
    <row r="114" spans="1:36" s="27" customFormat="1" ht="12.75" customHeight="1">
      <c r="A114" s="22"/>
      <c r="B114" s="22"/>
      <c r="C114" s="8"/>
      <c r="D114" s="34"/>
      <c r="E114" s="34"/>
      <c r="F114" s="15"/>
      <c r="G114" s="23"/>
      <c r="H114" s="24"/>
      <c r="I114" s="24"/>
      <c r="J114" s="24"/>
      <c r="K114" s="25"/>
      <c r="L114" s="26"/>
      <c r="M114" s="26"/>
      <c r="N114" s="26"/>
      <c r="O114" s="72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F114" s="28"/>
      <c r="AH114" s="65"/>
      <c r="AI114" s="28"/>
      <c r="AJ114" s="32"/>
    </row>
    <row r="115" spans="1:36" s="27" customFormat="1" ht="12.75" customHeight="1">
      <c r="A115" s="22"/>
      <c r="B115" s="22"/>
      <c r="C115" s="8"/>
      <c r="D115" s="34"/>
      <c r="E115" s="34"/>
      <c r="F115" s="15"/>
      <c r="G115" s="23"/>
      <c r="H115" s="24"/>
      <c r="I115" s="24"/>
      <c r="J115" s="24"/>
      <c r="K115" s="25"/>
      <c r="L115" s="26"/>
      <c r="M115" s="26"/>
      <c r="N115" s="26"/>
      <c r="O115" s="72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F115" s="28"/>
      <c r="AH115" s="65"/>
      <c r="AI115" s="28"/>
      <c r="AJ115" s="32"/>
    </row>
    <row r="116" spans="1:36" s="27" customFormat="1" ht="12.75" customHeight="1">
      <c r="A116" s="22"/>
      <c r="B116" s="22"/>
      <c r="C116" s="8"/>
      <c r="D116" s="34"/>
      <c r="E116" s="34"/>
      <c r="F116" s="15"/>
      <c r="G116" s="23"/>
      <c r="H116" s="24"/>
      <c r="I116" s="24"/>
      <c r="J116" s="24"/>
      <c r="K116" s="25"/>
      <c r="L116" s="26"/>
      <c r="M116" s="26"/>
      <c r="N116" s="26"/>
      <c r="O116" s="72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F116" s="28"/>
      <c r="AH116" s="65"/>
      <c r="AI116" s="28"/>
      <c r="AJ116" s="32"/>
    </row>
    <row r="117" spans="1:36" s="27" customFormat="1" ht="12.75" customHeight="1">
      <c r="A117" s="22"/>
      <c r="B117" s="22"/>
      <c r="C117" s="8"/>
      <c r="D117" s="34"/>
      <c r="E117" s="34"/>
      <c r="F117" s="15"/>
      <c r="G117" s="23"/>
      <c r="H117" s="24"/>
      <c r="I117" s="24"/>
      <c r="J117" s="24"/>
      <c r="K117" s="25"/>
      <c r="L117" s="26"/>
      <c r="M117" s="26"/>
      <c r="N117" s="26"/>
      <c r="O117" s="72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F117" s="28"/>
      <c r="AH117" s="65"/>
      <c r="AI117" s="28"/>
      <c r="AJ117" s="32"/>
    </row>
    <row r="118" spans="1:36" s="27" customFormat="1" ht="12.75" customHeight="1">
      <c r="A118" s="22"/>
      <c r="B118" s="22"/>
      <c r="C118" s="8"/>
      <c r="D118" s="34"/>
      <c r="E118" s="34"/>
      <c r="F118" s="15"/>
      <c r="G118" s="23"/>
      <c r="H118" s="24"/>
      <c r="I118" s="24"/>
      <c r="J118" s="24"/>
      <c r="K118" s="25"/>
      <c r="L118" s="26"/>
      <c r="M118" s="26"/>
      <c r="N118" s="26"/>
      <c r="O118" s="72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F118" s="28"/>
      <c r="AH118" s="65"/>
      <c r="AI118" s="28"/>
      <c r="AJ118" s="32"/>
    </row>
    <row r="119" spans="1:36" s="27" customFormat="1" ht="12.75" customHeight="1">
      <c r="A119" s="22"/>
      <c r="B119" s="22"/>
      <c r="C119" s="8"/>
      <c r="D119" s="34"/>
      <c r="E119" s="34"/>
      <c r="F119" s="15"/>
      <c r="G119" s="23"/>
      <c r="H119" s="24"/>
      <c r="I119" s="24"/>
      <c r="J119" s="24"/>
      <c r="K119" s="25"/>
      <c r="L119" s="26"/>
      <c r="M119" s="26"/>
      <c r="N119" s="26"/>
      <c r="O119" s="72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F119" s="28"/>
      <c r="AH119" s="65"/>
      <c r="AI119" s="28"/>
      <c r="AJ119" s="32"/>
    </row>
    <row r="120" spans="1:36" s="27" customFormat="1" ht="12.75" customHeight="1">
      <c r="A120" s="22"/>
      <c r="B120" s="22"/>
      <c r="C120" s="8"/>
      <c r="D120" s="34"/>
      <c r="E120" s="34"/>
      <c r="F120" s="15"/>
      <c r="G120" s="23"/>
      <c r="H120" s="24"/>
      <c r="I120" s="24"/>
      <c r="J120" s="24"/>
      <c r="K120" s="25"/>
      <c r="L120" s="26"/>
      <c r="M120" s="26"/>
      <c r="N120" s="26"/>
      <c r="O120" s="72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F120" s="28"/>
      <c r="AH120" s="65"/>
      <c r="AI120" s="28"/>
      <c r="AJ120" s="32"/>
    </row>
    <row r="121" spans="1:36" s="27" customFormat="1" ht="12.75" customHeight="1">
      <c r="A121" s="22"/>
      <c r="B121" s="22"/>
      <c r="C121" s="8"/>
      <c r="D121" s="34"/>
      <c r="E121" s="34"/>
      <c r="F121" s="15"/>
      <c r="G121" s="23"/>
      <c r="H121" s="24"/>
      <c r="I121" s="24"/>
      <c r="J121" s="24"/>
      <c r="K121" s="25"/>
      <c r="L121" s="26"/>
      <c r="M121" s="26"/>
      <c r="N121" s="26"/>
      <c r="O121" s="72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F121" s="28"/>
      <c r="AH121" s="65"/>
      <c r="AI121" s="28"/>
      <c r="AJ121" s="32"/>
    </row>
    <row r="122" spans="1:36" s="27" customFormat="1" ht="12.75" customHeight="1">
      <c r="A122" s="22"/>
      <c r="B122" s="22"/>
      <c r="C122" s="8"/>
      <c r="D122" s="34"/>
      <c r="E122" s="34"/>
      <c r="F122" s="15"/>
      <c r="G122" s="23"/>
      <c r="H122" s="24"/>
      <c r="I122" s="24"/>
      <c r="J122" s="24"/>
      <c r="K122" s="25"/>
      <c r="L122" s="26"/>
      <c r="M122" s="26"/>
      <c r="N122" s="26"/>
      <c r="O122" s="72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F122" s="28"/>
      <c r="AH122" s="65"/>
      <c r="AI122" s="28"/>
      <c r="AJ122" s="32"/>
    </row>
    <row r="123" spans="1:36" s="27" customFormat="1" ht="12.75" customHeight="1">
      <c r="A123" s="22"/>
      <c r="B123" s="22"/>
      <c r="C123" s="8"/>
      <c r="D123" s="34"/>
      <c r="E123" s="34"/>
      <c r="F123" s="15"/>
      <c r="G123" s="23"/>
      <c r="H123" s="24"/>
      <c r="I123" s="24"/>
      <c r="J123" s="24"/>
      <c r="K123" s="25"/>
      <c r="L123" s="26"/>
      <c r="M123" s="26"/>
      <c r="N123" s="26"/>
      <c r="O123" s="72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F123" s="28"/>
      <c r="AH123" s="65"/>
      <c r="AI123" s="28"/>
      <c r="AJ123" s="32"/>
    </row>
    <row r="124" spans="1:36" s="27" customFormat="1" ht="12.75" customHeight="1">
      <c r="A124" s="22"/>
      <c r="B124" s="22"/>
      <c r="C124" s="8"/>
      <c r="D124" s="34"/>
      <c r="E124" s="34"/>
      <c r="F124" s="15"/>
      <c r="G124" s="23"/>
      <c r="H124" s="24"/>
      <c r="I124" s="24"/>
      <c r="J124" s="24"/>
      <c r="K124" s="25"/>
      <c r="L124" s="26"/>
      <c r="M124" s="26"/>
      <c r="N124" s="26"/>
      <c r="O124" s="72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F124" s="28"/>
      <c r="AH124" s="65"/>
      <c r="AI124" s="28"/>
      <c r="AJ124" s="32"/>
    </row>
    <row r="125" spans="1:36" s="27" customFormat="1" ht="12.75" customHeight="1">
      <c r="A125" s="22"/>
      <c r="B125" s="22"/>
      <c r="C125" s="8"/>
      <c r="D125" s="34"/>
      <c r="E125" s="34"/>
      <c r="F125" s="15"/>
      <c r="G125" s="23"/>
      <c r="H125" s="24"/>
      <c r="I125" s="24"/>
      <c r="J125" s="24"/>
      <c r="K125" s="25"/>
      <c r="L125" s="26"/>
      <c r="M125" s="26"/>
      <c r="N125" s="26"/>
      <c r="O125" s="72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F125" s="28"/>
      <c r="AH125" s="65"/>
      <c r="AI125" s="28"/>
      <c r="AJ125" s="32"/>
    </row>
    <row r="126" spans="1:36" s="27" customFormat="1" ht="12.75" customHeight="1">
      <c r="A126" s="22"/>
      <c r="B126" s="22"/>
      <c r="C126" s="8"/>
      <c r="D126" s="34"/>
      <c r="E126" s="34"/>
      <c r="F126" s="15"/>
      <c r="G126" s="23"/>
      <c r="H126" s="24"/>
      <c r="I126" s="24"/>
      <c r="J126" s="24"/>
      <c r="K126" s="25"/>
      <c r="L126" s="26"/>
      <c r="M126" s="26"/>
      <c r="N126" s="26"/>
      <c r="O126" s="72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F126" s="28"/>
      <c r="AH126" s="65"/>
      <c r="AI126" s="28"/>
      <c r="AJ126" s="32"/>
    </row>
    <row r="127" spans="1:36" s="27" customFormat="1" ht="12.75" customHeight="1">
      <c r="A127" s="22"/>
      <c r="B127" s="22"/>
      <c r="C127" s="8"/>
      <c r="D127" s="34"/>
      <c r="E127" s="34"/>
      <c r="F127" s="15"/>
      <c r="G127" s="23"/>
      <c r="H127" s="24"/>
      <c r="I127" s="24"/>
      <c r="J127" s="24"/>
      <c r="K127" s="25"/>
      <c r="L127" s="26"/>
      <c r="M127" s="26"/>
      <c r="N127" s="26"/>
      <c r="O127" s="72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F127" s="28"/>
      <c r="AH127" s="65"/>
      <c r="AI127" s="28"/>
      <c r="AJ127" s="32"/>
    </row>
    <row r="128" spans="1:36" s="27" customFormat="1" ht="12.75" customHeight="1">
      <c r="A128" s="22"/>
      <c r="B128" s="22"/>
      <c r="C128" s="8"/>
      <c r="D128" s="34"/>
      <c r="E128" s="34"/>
      <c r="F128" s="15"/>
      <c r="G128" s="23"/>
      <c r="H128" s="24"/>
      <c r="I128" s="24"/>
      <c r="J128" s="24"/>
      <c r="K128" s="25"/>
      <c r="L128" s="26"/>
      <c r="M128" s="26"/>
      <c r="N128" s="26"/>
      <c r="O128" s="72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F128" s="28"/>
      <c r="AH128" s="65"/>
      <c r="AI128" s="28"/>
      <c r="AJ128" s="32"/>
    </row>
    <row r="129" spans="1:36" s="27" customFormat="1" ht="12.75" customHeight="1">
      <c r="A129" s="22"/>
      <c r="B129" s="22"/>
      <c r="C129" s="8"/>
      <c r="D129" s="34"/>
      <c r="E129" s="34"/>
      <c r="F129" s="15"/>
      <c r="G129" s="23"/>
      <c r="H129" s="24"/>
      <c r="I129" s="24"/>
      <c r="J129" s="24"/>
      <c r="K129" s="25"/>
      <c r="L129" s="26"/>
      <c r="M129" s="26"/>
      <c r="N129" s="26"/>
      <c r="O129" s="72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F129" s="28"/>
      <c r="AH129" s="65"/>
      <c r="AI129" s="28"/>
      <c r="AJ129" s="32"/>
    </row>
    <row r="130" spans="1:36" s="27" customFormat="1" ht="12.75" customHeight="1">
      <c r="A130" s="22"/>
      <c r="B130" s="22"/>
      <c r="C130" s="8"/>
      <c r="D130" s="34"/>
      <c r="E130" s="34"/>
      <c r="F130" s="15"/>
      <c r="G130" s="23"/>
      <c r="H130" s="24"/>
      <c r="I130" s="24"/>
      <c r="J130" s="24"/>
      <c r="K130" s="25"/>
      <c r="L130" s="26"/>
      <c r="M130" s="26"/>
      <c r="N130" s="26"/>
      <c r="O130" s="72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F130" s="28"/>
      <c r="AH130" s="65"/>
      <c r="AI130" s="28"/>
      <c r="AJ130" s="32"/>
    </row>
    <row r="131" spans="1:36" s="27" customFormat="1" ht="12.75" customHeight="1">
      <c r="A131" s="22"/>
      <c r="B131" s="22"/>
      <c r="C131" s="8"/>
      <c r="D131" s="34"/>
      <c r="E131" s="34"/>
      <c r="F131" s="15"/>
      <c r="G131" s="23"/>
      <c r="H131" s="24"/>
      <c r="I131" s="24"/>
      <c r="J131" s="24"/>
      <c r="K131" s="25"/>
      <c r="L131" s="26"/>
      <c r="M131" s="26"/>
      <c r="N131" s="26"/>
      <c r="O131" s="72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F131" s="28"/>
      <c r="AH131" s="65"/>
      <c r="AI131" s="28"/>
      <c r="AJ131" s="32"/>
    </row>
    <row r="132" spans="1:36" s="27" customFormat="1" ht="12.75" customHeight="1">
      <c r="A132" s="22"/>
      <c r="B132" s="22"/>
      <c r="C132" s="8"/>
      <c r="D132" s="34"/>
      <c r="E132" s="34"/>
      <c r="F132" s="15"/>
      <c r="G132" s="23"/>
      <c r="H132" s="24"/>
      <c r="I132" s="24"/>
      <c r="J132" s="24"/>
      <c r="K132" s="25"/>
      <c r="L132" s="26"/>
      <c r="M132" s="26"/>
      <c r="N132" s="26"/>
      <c r="O132" s="72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F132" s="28"/>
      <c r="AH132" s="65"/>
      <c r="AI132" s="28"/>
      <c r="AJ132" s="32"/>
    </row>
    <row r="133" spans="1:36" s="27" customFormat="1" ht="12.75" customHeight="1">
      <c r="A133" s="22"/>
      <c r="B133" s="22"/>
      <c r="C133" s="8"/>
      <c r="D133" s="34"/>
      <c r="E133" s="34"/>
      <c r="F133" s="15"/>
      <c r="G133" s="23"/>
      <c r="H133" s="24"/>
      <c r="I133" s="24"/>
      <c r="J133" s="24"/>
      <c r="K133" s="25"/>
      <c r="L133" s="26"/>
      <c r="M133" s="26"/>
      <c r="N133" s="26"/>
      <c r="O133" s="72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F133" s="28"/>
      <c r="AH133" s="65"/>
      <c r="AI133" s="28"/>
      <c r="AJ133" s="32"/>
    </row>
    <row r="134" spans="1:36" s="27" customFormat="1" ht="12.75" customHeight="1">
      <c r="A134" s="22"/>
      <c r="B134" s="22"/>
      <c r="C134" s="8"/>
      <c r="D134" s="34"/>
      <c r="E134" s="34"/>
      <c r="F134" s="15"/>
      <c r="G134" s="23"/>
      <c r="H134" s="24"/>
      <c r="I134" s="24"/>
      <c r="J134" s="24"/>
      <c r="K134" s="25"/>
      <c r="L134" s="26"/>
      <c r="M134" s="26"/>
      <c r="N134" s="26"/>
      <c r="O134" s="72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F134" s="28"/>
      <c r="AH134" s="65"/>
      <c r="AI134" s="28"/>
      <c r="AJ134" s="32"/>
    </row>
    <row r="135" spans="1:36" s="27" customFormat="1" ht="12.75" customHeight="1">
      <c r="A135" s="22"/>
      <c r="B135" s="22"/>
      <c r="C135" s="8"/>
      <c r="D135" s="34"/>
      <c r="E135" s="34"/>
      <c r="F135" s="15"/>
      <c r="G135" s="23"/>
      <c r="H135" s="24"/>
      <c r="I135" s="24"/>
      <c r="J135" s="24"/>
      <c r="K135" s="25"/>
      <c r="L135" s="26"/>
      <c r="M135" s="26"/>
      <c r="N135" s="26"/>
      <c r="O135" s="72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F135" s="28"/>
      <c r="AH135" s="65"/>
      <c r="AI135" s="28"/>
      <c r="AJ135" s="32"/>
    </row>
    <row r="136" spans="1:36" s="27" customFormat="1" ht="12.75" customHeight="1">
      <c r="A136" s="22"/>
      <c r="B136" s="22"/>
      <c r="C136" s="8"/>
      <c r="D136" s="34"/>
      <c r="E136" s="34"/>
      <c r="F136" s="15"/>
      <c r="G136" s="23"/>
      <c r="H136" s="24"/>
      <c r="I136" s="24"/>
      <c r="J136" s="24"/>
      <c r="K136" s="25"/>
      <c r="L136" s="26"/>
      <c r="M136" s="26"/>
      <c r="N136" s="26"/>
      <c r="O136" s="72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F136" s="28"/>
      <c r="AH136" s="65"/>
      <c r="AI136" s="28"/>
      <c r="AJ136" s="32"/>
    </row>
    <row r="137" spans="1:36" s="27" customFormat="1" ht="12.75" customHeight="1">
      <c r="A137" s="22"/>
      <c r="B137" s="22"/>
      <c r="C137" s="8"/>
      <c r="D137" s="34"/>
      <c r="E137" s="34"/>
      <c r="F137" s="15"/>
      <c r="G137" s="23"/>
      <c r="H137" s="24"/>
      <c r="I137" s="24"/>
      <c r="J137" s="24"/>
      <c r="K137" s="25"/>
      <c r="L137" s="26"/>
      <c r="M137" s="26"/>
      <c r="N137" s="26"/>
      <c r="O137" s="72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F137" s="28"/>
      <c r="AH137" s="65"/>
      <c r="AI137" s="28"/>
      <c r="AJ137" s="32"/>
    </row>
    <row r="138" spans="1:36" s="27" customFormat="1" ht="12.75" customHeight="1">
      <c r="A138" s="22"/>
      <c r="B138" s="22"/>
      <c r="C138" s="8"/>
      <c r="D138" s="34"/>
      <c r="E138" s="34"/>
      <c r="F138" s="15"/>
      <c r="G138" s="23"/>
      <c r="H138" s="24"/>
      <c r="I138" s="24"/>
      <c r="J138" s="24"/>
      <c r="K138" s="25"/>
      <c r="L138" s="26"/>
      <c r="M138" s="26"/>
      <c r="N138" s="26"/>
      <c r="O138" s="72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F138" s="28"/>
      <c r="AH138" s="65"/>
      <c r="AI138" s="28"/>
      <c r="AJ138" s="32"/>
    </row>
    <row r="139" spans="1:36" s="27" customFormat="1" ht="12.75" customHeight="1">
      <c r="A139" s="22"/>
      <c r="B139" s="22"/>
      <c r="C139" s="8"/>
      <c r="D139" s="34"/>
      <c r="E139" s="34"/>
      <c r="F139" s="15"/>
      <c r="G139" s="23"/>
      <c r="H139" s="24"/>
      <c r="I139" s="24"/>
      <c r="J139" s="24"/>
      <c r="K139" s="25"/>
      <c r="L139" s="26"/>
      <c r="M139" s="26"/>
      <c r="N139" s="26"/>
      <c r="O139" s="72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F139" s="28"/>
      <c r="AH139" s="65"/>
      <c r="AI139" s="28"/>
      <c r="AJ139" s="32"/>
    </row>
    <row r="140" spans="1:36" s="27" customFormat="1" ht="12.75" customHeight="1">
      <c r="A140" s="22"/>
      <c r="B140" s="22"/>
      <c r="C140" s="8"/>
      <c r="D140" s="34"/>
      <c r="E140" s="34"/>
      <c r="F140" s="15"/>
      <c r="G140" s="23"/>
      <c r="H140" s="24"/>
      <c r="I140" s="24"/>
      <c r="J140" s="24"/>
      <c r="K140" s="25"/>
      <c r="L140" s="26"/>
      <c r="M140" s="26"/>
      <c r="N140" s="26"/>
      <c r="O140" s="72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F140" s="28"/>
      <c r="AH140" s="65"/>
      <c r="AI140" s="28"/>
      <c r="AJ140" s="32"/>
    </row>
    <row r="141" spans="1:36" s="27" customFormat="1" ht="12.75" customHeight="1">
      <c r="A141" s="22"/>
      <c r="B141" s="22"/>
      <c r="C141" s="8"/>
      <c r="D141" s="34"/>
      <c r="E141" s="34"/>
      <c r="F141" s="15"/>
      <c r="G141" s="23"/>
      <c r="H141" s="24"/>
      <c r="I141" s="24"/>
      <c r="J141" s="24"/>
      <c r="K141" s="25"/>
      <c r="L141" s="26"/>
      <c r="M141" s="26"/>
      <c r="N141" s="26"/>
      <c r="O141" s="72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F141" s="28"/>
      <c r="AH141" s="65"/>
      <c r="AI141" s="28"/>
      <c r="AJ141" s="32"/>
    </row>
    <row r="142" spans="1:36" s="27" customFormat="1" ht="12.75" customHeight="1">
      <c r="A142" s="22"/>
      <c r="B142" s="22"/>
      <c r="C142" s="8"/>
      <c r="D142" s="34"/>
      <c r="E142" s="34"/>
      <c r="F142" s="15"/>
      <c r="G142" s="23"/>
      <c r="H142" s="24"/>
      <c r="I142" s="24"/>
      <c r="J142" s="24"/>
      <c r="K142" s="25"/>
      <c r="L142" s="26"/>
      <c r="M142" s="26"/>
      <c r="N142" s="26"/>
      <c r="O142" s="72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F142" s="28"/>
      <c r="AH142" s="65"/>
      <c r="AI142" s="28"/>
      <c r="AJ142" s="32"/>
    </row>
    <row r="143" spans="1:36" s="27" customFormat="1" ht="12.75" customHeight="1">
      <c r="A143" s="22"/>
      <c r="B143" s="22"/>
      <c r="C143" s="8"/>
      <c r="D143" s="34"/>
      <c r="E143" s="34"/>
      <c r="F143" s="15"/>
      <c r="G143" s="23"/>
      <c r="H143" s="24"/>
      <c r="I143" s="24"/>
      <c r="J143" s="24"/>
      <c r="K143" s="25"/>
      <c r="L143" s="26"/>
      <c r="M143" s="26"/>
      <c r="N143" s="26"/>
      <c r="O143" s="72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F143" s="28"/>
      <c r="AH143" s="65"/>
      <c r="AI143" s="28"/>
      <c r="AJ143" s="32"/>
    </row>
    <row r="144" spans="1:36" s="27" customFormat="1" ht="12.75" customHeight="1">
      <c r="A144" s="22"/>
      <c r="B144" s="22"/>
      <c r="C144" s="8"/>
      <c r="D144" s="34"/>
      <c r="E144" s="34"/>
      <c r="F144" s="15"/>
      <c r="G144" s="23"/>
      <c r="H144" s="24"/>
      <c r="I144" s="24"/>
      <c r="J144" s="24"/>
      <c r="K144" s="25"/>
      <c r="L144" s="26"/>
      <c r="M144" s="26"/>
      <c r="N144" s="26"/>
      <c r="O144" s="72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F144" s="28"/>
      <c r="AH144" s="65"/>
      <c r="AI144" s="28"/>
      <c r="AJ144" s="32"/>
    </row>
    <row r="145" spans="1:36" s="27" customFormat="1" ht="12.75" customHeight="1">
      <c r="A145" s="22"/>
      <c r="B145" s="22"/>
      <c r="C145" s="8"/>
      <c r="D145" s="34"/>
      <c r="E145" s="34"/>
      <c r="F145" s="15"/>
      <c r="G145" s="23"/>
      <c r="H145" s="24"/>
      <c r="I145" s="24"/>
      <c r="J145" s="24"/>
      <c r="K145" s="25"/>
      <c r="L145" s="26"/>
      <c r="M145" s="26"/>
      <c r="N145" s="26"/>
      <c r="O145" s="72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F145" s="28"/>
      <c r="AH145" s="65"/>
      <c r="AI145" s="28"/>
      <c r="AJ145" s="32"/>
    </row>
    <row r="146" spans="1:36" s="27" customFormat="1" ht="12.75" customHeight="1">
      <c r="A146" s="22"/>
      <c r="B146" s="22"/>
      <c r="C146" s="8"/>
      <c r="D146" s="34"/>
      <c r="E146" s="34"/>
      <c r="F146" s="15"/>
      <c r="G146" s="23"/>
      <c r="H146" s="24"/>
      <c r="I146" s="24"/>
      <c r="J146" s="24"/>
      <c r="K146" s="25"/>
      <c r="L146" s="26"/>
      <c r="M146" s="26"/>
      <c r="N146" s="26"/>
      <c r="O146" s="72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F146" s="28"/>
      <c r="AH146" s="65"/>
      <c r="AI146" s="28"/>
      <c r="AJ146" s="32"/>
    </row>
    <row r="147" spans="1:36" s="27" customFormat="1" ht="12.75" customHeight="1">
      <c r="A147" s="22"/>
      <c r="B147" s="22"/>
      <c r="C147" s="8"/>
      <c r="D147" s="34"/>
      <c r="E147" s="34"/>
      <c r="F147" s="15"/>
      <c r="G147" s="23"/>
      <c r="H147" s="24"/>
      <c r="I147" s="24"/>
      <c r="J147" s="24"/>
      <c r="K147" s="25"/>
      <c r="L147" s="26"/>
      <c r="M147" s="26"/>
      <c r="N147" s="26"/>
      <c r="O147" s="72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F147" s="28"/>
      <c r="AH147" s="65"/>
      <c r="AI147" s="28"/>
      <c r="AJ147" s="32"/>
    </row>
    <row r="148" spans="1:36" s="27" customFormat="1" ht="12.75" customHeight="1">
      <c r="A148" s="22"/>
      <c r="B148" s="22"/>
      <c r="C148" s="8"/>
      <c r="D148" s="34"/>
      <c r="E148" s="34"/>
      <c r="F148" s="15"/>
      <c r="G148" s="23"/>
      <c r="H148" s="24"/>
      <c r="I148" s="24"/>
      <c r="J148" s="24"/>
      <c r="K148" s="25"/>
      <c r="L148" s="26"/>
      <c r="M148" s="26"/>
      <c r="N148" s="26"/>
      <c r="O148" s="72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F148" s="28"/>
      <c r="AH148" s="65"/>
      <c r="AI148" s="28"/>
      <c r="AJ148" s="32"/>
    </row>
    <row r="149" spans="1:36" s="27" customFormat="1" ht="12.75" customHeight="1">
      <c r="A149" s="22"/>
      <c r="B149" s="22"/>
      <c r="C149" s="8"/>
      <c r="D149" s="34"/>
      <c r="E149" s="34"/>
      <c r="F149" s="15"/>
      <c r="G149" s="23"/>
      <c r="H149" s="24"/>
      <c r="I149" s="24"/>
      <c r="J149" s="24"/>
      <c r="K149" s="25"/>
      <c r="L149" s="26"/>
      <c r="M149" s="26"/>
      <c r="N149" s="26"/>
      <c r="O149" s="72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F149" s="28"/>
      <c r="AH149" s="65"/>
      <c r="AI149" s="28"/>
      <c r="AJ149" s="32"/>
    </row>
    <row r="150" spans="1:36" s="27" customFormat="1" ht="12.75" customHeight="1">
      <c r="A150" s="22"/>
      <c r="B150" s="22"/>
      <c r="C150" s="8"/>
      <c r="D150" s="34"/>
      <c r="E150" s="34"/>
      <c r="F150" s="15"/>
      <c r="G150" s="23"/>
      <c r="H150" s="24"/>
      <c r="I150" s="24"/>
      <c r="J150" s="24"/>
      <c r="K150" s="25"/>
      <c r="L150" s="26"/>
      <c r="M150" s="26"/>
      <c r="N150" s="26"/>
      <c r="O150" s="72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F150" s="28"/>
      <c r="AH150" s="65"/>
      <c r="AI150" s="28"/>
      <c r="AJ150" s="32"/>
    </row>
    <row r="151" spans="1:36" s="27" customFormat="1" ht="12.75" customHeight="1">
      <c r="A151" s="22"/>
      <c r="B151" s="22"/>
      <c r="C151" s="8"/>
      <c r="D151" s="34"/>
      <c r="E151" s="34"/>
      <c r="F151" s="15"/>
      <c r="G151" s="23"/>
      <c r="H151" s="24"/>
      <c r="I151" s="24"/>
      <c r="J151" s="24"/>
      <c r="K151" s="25"/>
      <c r="L151" s="26"/>
      <c r="M151" s="26"/>
      <c r="N151" s="26"/>
      <c r="O151" s="72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F151" s="28"/>
      <c r="AH151" s="65"/>
      <c r="AI151" s="28"/>
      <c r="AJ151" s="32"/>
    </row>
    <row r="152" spans="1:36" s="27" customFormat="1" ht="12.75" customHeight="1">
      <c r="A152" s="22"/>
      <c r="B152" s="22"/>
      <c r="C152" s="8"/>
      <c r="D152" s="34"/>
      <c r="E152" s="34"/>
      <c r="F152" s="15"/>
      <c r="G152" s="23"/>
      <c r="H152" s="24"/>
      <c r="I152" s="24"/>
      <c r="J152" s="24"/>
      <c r="K152" s="25"/>
      <c r="L152" s="26"/>
      <c r="M152" s="26"/>
      <c r="N152" s="26"/>
      <c r="O152" s="72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F152" s="28"/>
      <c r="AH152" s="65"/>
      <c r="AI152" s="28"/>
      <c r="AJ152" s="32"/>
    </row>
    <row r="153" spans="1:36" s="27" customFormat="1" ht="12.75" customHeight="1">
      <c r="A153" s="22"/>
      <c r="B153" s="22"/>
      <c r="C153" s="8"/>
      <c r="D153" s="34"/>
      <c r="E153" s="34"/>
      <c r="F153" s="15"/>
      <c r="G153" s="23"/>
      <c r="H153" s="24"/>
      <c r="I153" s="24"/>
      <c r="J153" s="24"/>
      <c r="K153" s="25"/>
      <c r="L153" s="26"/>
      <c r="M153" s="26"/>
      <c r="N153" s="26"/>
      <c r="O153" s="72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F153" s="28"/>
      <c r="AH153" s="65"/>
      <c r="AI153" s="28"/>
      <c r="AJ153" s="32"/>
    </row>
    <row r="154" spans="1:36" s="27" customFormat="1" ht="12.75" customHeight="1">
      <c r="A154" s="22"/>
      <c r="B154" s="22"/>
      <c r="C154" s="8"/>
      <c r="D154" s="34"/>
      <c r="E154" s="34"/>
      <c r="F154" s="15"/>
      <c r="G154" s="23"/>
      <c r="H154" s="24"/>
      <c r="I154" s="24"/>
      <c r="J154" s="24"/>
      <c r="K154" s="25"/>
      <c r="L154" s="26"/>
      <c r="M154" s="26"/>
      <c r="N154" s="26"/>
      <c r="O154" s="72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F154" s="28"/>
      <c r="AH154" s="65"/>
      <c r="AI154" s="28"/>
      <c r="AJ154" s="32"/>
    </row>
    <row r="155" spans="1:36" s="27" customFormat="1" ht="12.75" customHeight="1">
      <c r="A155" s="22"/>
      <c r="B155" s="22"/>
      <c r="C155" s="8"/>
      <c r="D155" s="34"/>
      <c r="E155" s="34"/>
      <c r="F155" s="15"/>
      <c r="G155" s="23"/>
      <c r="H155" s="24"/>
      <c r="I155" s="24"/>
      <c r="J155" s="24"/>
      <c r="K155" s="25"/>
      <c r="L155" s="26"/>
      <c r="M155" s="26"/>
      <c r="N155" s="26"/>
      <c r="O155" s="72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F155" s="28"/>
      <c r="AH155" s="65"/>
      <c r="AI155" s="28"/>
      <c r="AJ155" s="32"/>
    </row>
    <row r="156" spans="1:36" s="27" customFormat="1" ht="12.75" customHeight="1">
      <c r="A156" s="22"/>
      <c r="B156" s="22"/>
      <c r="C156" s="8"/>
      <c r="D156" s="34"/>
      <c r="E156" s="34"/>
      <c r="F156" s="15"/>
      <c r="G156" s="23"/>
      <c r="H156" s="24"/>
      <c r="I156" s="24"/>
      <c r="J156" s="24"/>
      <c r="K156" s="25"/>
      <c r="L156" s="26"/>
      <c r="M156" s="26"/>
      <c r="N156" s="26"/>
      <c r="O156" s="72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F156" s="28"/>
      <c r="AH156" s="65"/>
      <c r="AI156" s="28"/>
      <c r="AJ156" s="32"/>
    </row>
    <row r="157" spans="1:36" s="27" customFormat="1" ht="12.75" customHeight="1">
      <c r="A157" s="22"/>
      <c r="B157" s="22"/>
      <c r="C157" s="8"/>
      <c r="D157" s="34"/>
      <c r="E157" s="34"/>
      <c r="F157" s="15"/>
      <c r="G157" s="23"/>
      <c r="H157" s="24"/>
      <c r="I157" s="24"/>
      <c r="J157" s="24"/>
      <c r="K157" s="25"/>
      <c r="L157" s="26"/>
      <c r="M157" s="26"/>
      <c r="N157" s="26"/>
      <c r="O157" s="72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F157" s="28"/>
      <c r="AH157" s="65"/>
      <c r="AI157" s="28"/>
      <c r="AJ157" s="32"/>
    </row>
    <row r="158" spans="1:36" s="27" customFormat="1" ht="12.75" customHeight="1">
      <c r="A158" s="22"/>
      <c r="B158" s="22"/>
      <c r="C158" s="8"/>
      <c r="D158" s="34"/>
      <c r="E158" s="34"/>
      <c r="F158" s="15"/>
      <c r="G158" s="23"/>
      <c r="H158" s="24"/>
      <c r="I158" s="24"/>
      <c r="J158" s="24"/>
      <c r="K158" s="25"/>
      <c r="L158" s="26"/>
      <c r="M158" s="26"/>
      <c r="N158" s="26"/>
      <c r="O158" s="72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F158" s="28"/>
      <c r="AH158" s="65"/>
      <c r="AI158" s="28"/>
      <c r="AJ158" s="32"/>
    </row>
    <row r="159" spans="1:36" s="27" customFormat="1" ht="12.75" customHeight="1">
      <c r="A159" s="22"/>
      <c r="B159" s="22"/>
      <c r="C159" s="8"/>
      <c r="D159" s="34"/>
      <c r="E159" s="34"/>
      <c r="F159" s="15"/>
      <c r="G159" s="23"/>
      <c r="H159" s="24"/>
      <c r="I159" s="24"/>
      <c r="J159" s="24"/>
      <c r="K159" s="25"/>
      <c r="L159" s="26"/>
      <c r="M159" s="26"/>
      <c r="N159" s="26"/>
      <c r="O159" s="72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F159" s="28"/>
      <c r="AH159" s="65"/>
      <c r="AI159" s="28"/>
      <c r="AJ159" s="32"/>
    </row>
    <row r="160" spans="1:36" s="27" customFormat="1" ht="12.75" customHeight="1">
      <c r="A160" s="22"/>
      <c r="B160" s="22"/>
      <c r="C160" s="8"/>
      <c r="D160" s="34"/>
      <c r="E160" s="34"/>
      <c r="F160" s="15"/>
      <c r="G160" s="23"/>
      <c r="H160" s="24"/>
      <c r="I160" s="24"/>
      <c r="J160" s="24"/>
      <c r="K160" s="25"/>
      <c r="L160" s="26"/>
      <c r="M160" s="26"/>
      <c r="N160" s="26"/>
      <c r="O160" s="72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F160" s="28"/>
      <c r="AH160" s="65"/>
      <c r="AI160" s="28"/>
      <c r="AJ160" s="32"/>
    </row>
    <row r="161" spans="1:36" s="27" customFormat="1" ht="12.75" customHeight="1">
      <c r="A161" s="22"/>
      <c r="B161" s="22"/>
      <c r="C161" s="8"/>
      <c r="D161" s="34"/>
      <c r="E161" s="34"/>
      <c r="F161" s="15"/>
      <c r="G161" s="23"/>
      <c r="H161" s="24"/>
      <c r="I161" s="24"/>
      <c r="J161" s="24"/>
      <c r="K161" s="25"/>
      <c r="L161" s="26"/>
      <c r="M161" s="26"/>
      <c r="N161" s="26"/>
      <c r="O161" s="72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F161" s="28"/>
      <c r="AH161" s="65"/>
      <c r="AI161" s="28"/>
      <c r="AJ161" s="32"/>
    </row>
    <row r="162" spans="1:36" s="27" customFormat="1" ht="12.75" customHeight="1">
      <c r="A162" s="22"/>
      <c r="B162" s="22"/>
      <c r="C162" s="8"/>
      <c r="D162" s="34"/>
      <c r="E162" s="34"/>
      <c r="F162" s="15"/>
      <c r="G162" s="23"/>
      <c r="H162" s="24"/>
      <c r="I162" s="24"/>
      <c r="J162" s="24"/>
      <c r="K162" s="25"/>
      <c r="L162" s="26"/>
      <c r="M162" s="26"/>
      <c r="N162" s="26"/>
      <c r="O162" s="72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F162" s="28"/>
      <c r="AH162" s="65"/>
      <c r="AI162" s="28"/>
      <c r="AJ162" s="32"/>
    </row>
    <row r="163" spans="1:36" s="27" customFormat="1" ht="12.75" customHeight="1">
      <c r="A163" s="22"/>
      <c r="B163" s="22"/>
      <c r="C163" s="8"/>
      <c r="D163" s="34"/>
      <c r="E163" s="34"/>
      <c r="F163" s="15"/>
      <c r="G163" s="23"/>
      <c r="H163" s="24"/>
      <c r="I163" s="24"/>
      <c r="J163" s="24"/>
      <c r="K163" s="25"/>
      <c r="L163" s="26"/>
      <c r="M163" s="26"/>
      <c r="N163" s="26"/>
      <c r="O163" s="72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F163" s="28"/>
      <c r="AH163" s="65"/>
      <c r="AI163" s="28"/>
      <c r="AJ163" s="32"/>
    </row>
    <row r="164" spans="1:36" s="27" customFormat="1" ht="12.75" customHeight="1">
      <c r="A164" s="22"/>
      <c r="B164" s="22"/>
      <c r="C164" s="8"/>
      <c r="D164" s="34"/>
      <c r="E164" s="34"/>
      <c r="F164" s="15"/>
      <c r="G164" s="23"/>
      <c r="H164" s="24"/>
      <c r="I164" s="24"/>
      <c r="J164" s="24"/>
      <c r="K164" s="25"/>
      <c r="L164" s="26"/>
      <c r="M164" s="26"/>
      <c r="N164" s="26"/>
      <c r="O164" s="72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F164" s="28"/>
      <c r="AH164" s="65"/>
      <c r="AI164" s="28"/>
      <c r="AJ164" s="32"/>
    </row>
    <row r="165" spans="1:36" s="27" customFormat="1" ht="12.75" customHeight="1">
      <c r="A165" s="22"/>
      <c r="B165" s="22"/>
      <c r="C165" s="8"/>
      <c r="D165" s="34"/>
      <c r="E165" s="34"/>
      <c r="F165" s="15"/>
      <c r="G165" s="23"/>
      <c r="H165" s="24"/>
      <c r="I165" s="24"/>
      <c r="J165" s="24"/>
      <c r="K165" s="25"/>
      <c r="L165" s="26"/>
      <c r="M165" s="26"/>
      <c r="N165" s="26"/>
      <c r="O165" s="72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F165" s="28"/>
      <c r="AH165" s="65"/>
      <c r="AI165" s="28"/>
      <c r="AJ165" s="32"/>
    </row>
    <row r="166" spans="1:36" s="27" customFormat="1" ht="12.75" customHeight="1">
      <c r="A166" s="22"/>
      <c r="B166" s="22"/>
      <c r="C166" s="8"/>
      <c r="D166" s="34"/>
      <c r="E166" s="34"/>
      <c r="F166" s="15"/>
      <c r="G166" s="23"/>
      <c r="H166" s="24"/>
      <c r="I166" s="24"/>
      <c r="J166" s="24"/>
      <c r="K166" s="25"/>
      <c r="L166" s="26"/>
      <c r="M166" s="26"/>
      <c r="N166" s="26"/>
      <c r="O166" s="72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F166" s="28"/>
      <c r="AH166" s="65"/>
      <c r="AI166" s="28"/>
      <c r="AJ166" s="32"/>
    </row>
    <row r="167" spans="1:36" s="27" customFormat="1" ht="12.75" customHeight="1">
      <c r="A167" s="22"/>
      <c r="B167" s="22"/>
      <c r="C167" s="8"/>
      <c r="D167" s="34"/>
      <c r="E167" s="34"/>
      <c r="F167" s="15"/>
      <c r="G167" s="23"/>
      <c r="H167" s="24"/>
      <c r="I167" s="24"/>
      <c r="J167" s="24"/>
      <c r="K167" s="25"/>
      <c r="L167" s="26"/>
      <c r="M167" s="26"/>
      <c r="N167" s="26"/>
      <c r="O167" s="72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F167" s="28"/>
      <c r="AH167" s="65"/>
      <c r="AI167" s="28"/>
      <c r="AJ167" s="32"/>
    </row>
    <row r="168" spans="1:36" s="27" customFormat="1" ht="12.75" customHeight="1">
      <c r="A168" s="22"/>
      <c r="B168" s="22"/>
      <c r="C168" s="8"/>
      <c r="D168" s="34"/>
      <c r="E168" s="34"/>
      <c r="F168" s="15"/>
      <c r="G168" s="23"/>
      <c r="H168" s="24"/>
      <c r="I168" s="24"/>
      <c r="J168" s="24"/>
      <c r="K168" s="25"/>
      <c r="L168" s="26"/>
      <c r="M168" s="26"/>
      <c r="N168" s="26"/>
      <c r="O168" s="72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F168" s="28"/>
      <c r="AH168" s="65"/>
      <c r="AI168" s="28"/>
      <c r="AJ168" s="32"/>
    </row>
    <row r="169" spans="1:36" s="27" customFormat="1" ht="12.75" customHeight="1">
      <c r="A169" s="22"/>
      <c r="B169" s="22"/>
      <c r="C169" s="8"/>
      <c r="D169" s="34"/>
      <c r="E169" s="34"/>
      <c r="F169" s="15"/>
      <c r="G169" s="23"/>
      <c r="H169" s="24"/>
      <c r="I169" s="24"/>
      <c r="J169" s="24"/>
      <c r="K169" s="25"/>
      <c r="L169" s="26"/>
      <c r="M169" s="26"/>
      <c r="N169" s="26"/>
      <c r="O169" s="72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F169" s="28"/>
      <c r="AH169" s="65"/>
      <c r="AI169" s="28"/>
      <c r="AJ169" s="32"/>
    </row>
    <row r="170" spans="1:36" s="27" customFormat="1" ht="12.75" customHeight="1">
      <c r="A170" s="22"/>
      <c r="B170" s="22"/>
      <c r="C170" s="8"/>
      <c r="D170" s="34"/>
      <c r="E170" s="34"/>
      <c r="F170" s="15"/>
      <c r="G170" s="23"/>
      <c r="H170" s="24"/>
      <c r="I170" s="24"/>
      <c r="J170" s="24"/>
      <c r="K170" s="25"/>
      <c r="L170" s="26"/>
      <c r="M170" s="26"/>
      <c r="N170" s="26"/>
      <c r="O170" s="72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F170" s="28"/>
      <c r="AH170" s="65"/>
      <c r="AI170" s="28"/>
      <c r="AJ170" s="32"/>
    </row>
    <row r="171" spans="1:36" s="27" customFormat="1" ht="12.75" customHeight="1">
      <c r="A171" s="22"/>
      <c r="B171" s="22"/>
      <c r="C171" s="8"/>
      <c r="D171" s="34"/>
      <c r="E171" s="34"/>
      <c r="F171" s="15"/>
      <c r="G171" s="23"/>
      <c r="H171" s="24"/>
      <c r="I171" s="24"/>
      <c r="J171" s="24"/>
      <c r="K171" s="25"/>
      <c r="L171" s="26"/>
      <c r="M171" s="26"/>
      <c r="N171" s="26"/>
      <c r="O171" s="72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F171" s="28"/>
      <c r="AH171" s="65"/>
      <c r="AI171" s="28"/>
      <c r="AJ171" s="32"/>
    </row>
    <row r="172" spans="1:36" s="27" customFormat="1" ht="12.75" customHeight="1">
      <c r="A172" s="22"/>
      <c r="B172" s="22"/>
      <c r="C172" s="8"/>
      <c r="D172" s="34"/>
      <c r="E172" s="34"/>
      <c r="F172" s="15"/>
      <c r="G172" s="23"/>
      <c r="H172" s="24"/>
      <c r="I172" s="24"/>
      <c r="J172" s="24"/>
      <c r="K172" s="25"/>
      <c r="L172" s="26"/>
      <c r="M172" s="26"/>
      <c r="N172" s="26"/>
      <c r="O172" s="72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F172" s="28"/>
      <c r="AH172" s="65"/>
      <c r="AI172" s="28"/>
      <c r="AJ172" s="32"/>
    </row>
    <row r="173" spans="1:36" s="27" customFormat="1" ht="12.75" customHeight="1">
      <c r="A173" s="22"/>
      <c r="B173" s="22"/>
      <c r="C173" s="8"/>
      <c r="D173" s="34"/>
      <c r="E173" s="34"/>
      <c r="F173" s="15"/>
      <c r="G173" s="23"/>
      <c r="H173" s="24"/>
      <c r="I173" s="24"/>
      <c r="J173" s="24"/>
      <c r="K173" s="25"/>
      <c r="L173" s="26"/>
      <c r="M173" s="26"/>
      <c r="N173" s="26"/>
      <c r="O173" s="72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F173" s="28"/>
      <c r="AH173" s="65"/>
      <c r="AI173" s="28"/>
      <c r="AJ173" s="32"/>
    </row>
    <row r="174" spans="1:36" s="27" customFormat="1" ht="12.75" customHeight="1">
      <c r="A174" s="22"/>
      <c r="B174" s="22"/>
      <c r="C174" s="8"/>
      <c r="D174" s="34"/>
      <c r="E174" s="34"/>
      <c r="F174" s="15"/>
      <c r="G174" s="23"/>
      <c r="H174" s="24"/>
      <c r="I174" s="24"/>
      <c r="J174" s="24"/>
      <c r="K174" s="25"/>
      <c r="L174" s="26"/>
      <c r="M174" s="26"/>
      <c r="N174" s="26"/>
      <c r="O174" s="72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F174" s="28"/>
      <c r="AH174" s="65"/>
      <c r="AI174" s="28"/>
      <c r="AJ174" s="32"/>
    </row>
    <row r="175" spans="1:36" s="27" customFormat="1" ht="12.75" customHeight="1">
      <c r="A175" s="22"/>
      <c r="B175" s="22"/>
      <c r="C175" s="8"/>
      <c r="D175" s="34"/>
      <c r="E175" s="34"/>
      <c r="F175" s="15"/>
      <c r="G175" s="23"/>
      <c r="H175" s="24"/>
      <c r="I175" s="24"/>
      <c r="J175" s="24"/>
      <c r="K175" s="25"/>
      <c r="L175" s="26"/>
      <c r="M175" s="26"/>
      <c r="N175" s="26"/>
      <c r="O175" s="72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F175" s="28"/>
      <c r="AH175" s="65"/>
      <c r="AI175" s="28"/>
      <c r="AJ175" s="32"/>
    </row>
    <row r="176" spans="1:36" s="27" customFormat="1" ht="12.75" customHeight="1">
      <c r="A176" s="22"/>
      <c r="B176" s="22"/>
      <c r="C176" s="8"/>
      <c r="D176" s="34"/>
      <c r="E176" s="34"/>
      <c r="F176" s="15"/>
      <c r="G176" s="23"/>
      <c r="H176" s="24"/>
      <c r="I176" s="24"/>
      <c r="J176" s="24"/>
      <c r="K176" s="25"/>
      <c r="L176" s="26"/>
      <c r="M176" s="26"/>
      <c r="N176" s="26"/>
      <c r="O176" s="72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F176" s="28"/>
      <c r="AH176" s="65"/>
      <c r="AI176" s="28"/>
      <c r="AJ176" s="32"/>
    </row>
    <row r="177" spans="1:36" s="27" customFormat="1" ht="12.75" customHeight="1">
      <c r="A177" s="22"/>
      <c r="B177" s="22"/>
      <c r="C177" s="8"/>
      <c r="D177" s="34"/>
      <c r="E177" s="34"/>
      <c r="F177" s="15"/>
      <c r="G177" s="23"/>
      <c r="H177" s="24"/>
      <c r="I177" s="24"/>
      <c r="J177" s="24"/>
      <c r="K177" s="25"/>
      <c r="L177" s="26"/>
      <c r="M177" s="26"/>
      <c r="N177" s="26"/>
      <c r="O177" s="72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F177" s="28"/>
      <c r="AH177" s="65"/>
      <c r="AI177" s="28"/>
      <c r="AJ177" s="32"/>
    </row>
    <row r="178" spans="1:36" s="27" customFormat="1" ht="12.75" customHeight="1">
      <c r="A178" s="22"/>
      <c r="B178" s="22"/>
      <c r="C178" s="8"/>
      <c r="D178" s="34"/>
      <c r="E178" s="34"/>
      <c r="F178" s="15"/>
      <c r="G178" s="23"/>
      <c r="H178" s="24"/>
      <c r="I178" s="24"/>
      <c r="J178" s="24"/>
      <c r="K178" s="25"/>
      <c r="L178" s="26"/>
      <c r="M178" s="26"/>
      <c r="N178" s="26"/>
      <c r="O178" s="72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F178" s="28"/>
      <c r="AH178" s="65"/>
      <c r="AI178" s="28"/>
      <c r="AJ178" s="32"/>
    </row>
    <row r="179" spans="1:36" s="27" customFormat="1" ht="12.75" customHeight="1">
      <c r="A179" s="22"/>
      <c r="B179" s="22"/>
      <c r="C179" s="8"/>
      <c r="D179" s="34"/>
      <c r="E179" s="34"/>
      <c r="F179" s="15"/>
      <c r="G179" s="23"/>
      <c r="H179" s="24"/>
      <c r="I179" s="24"/>
      <c r="J179" s="24"/>
      <c r="K179" s="25"/>
      <c r="L179" s="26"/>
      <c r="M179" s="26"/>
      <c r="N179" s="26"/>
      <c r="O179" s="72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F179" s="28"/>
      <c r="AH179" s="65"/>
      <c r="AI179" s="28"/>
      <c r="AJ179" s="32"/>
    </row>
    <row r="180" spans="1:36" s="27" customFormat="1" ht="12.75" customHeight="1">
      <c r="A180" s="22"/>
      <c r="B180" s="22"/>
      <c r="C180" s="8"/>
      <c r="D180" s="34"/>
      <c r="E180" s="34"/>
      <c r="F180" s="15"/>
      <c r="G180" s="23"/>
      <c r="H180" s="24"/>
      <c r="I180" s="24"/>
      <c r="J180" s="24"/>
      <c r="K180" s="25"/>
      <c r="L180" s="26"/>
      <c r="M180" s="26"/>
      <c r="N180" s="26"/>
      <c r="O180" s="72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F180" s="28"/>
      <c r="AH180" s="65"/>
      <c r="AI180" s="28"/>
      <c r="AJ180" s="32"/>
    </row>
    <row r="181" spans="1:36" s="27" customFormat="1" ht="12.75" customHeight="1">
      <c r="A181" s="22"/>
      <c r="B181" s="22"/>
      <c r="C181" s="8"/>
      <c r="D181" s="34"/>
      <c r="E181" s="34"/>
      <c r="F181" s="15"/>
      <c r="G181" s="23"/>
      <c r="H181" s="24"/>
      <c r="I181" s="24"/>
      <c r="J181" s="24"/>
      <c r="K181" s="25"/>
      <c r="L181" s="26"/>
      <c r="M181" s="26"/>
      <c r="N181" s="26"/>
      <c r="O181" s="72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F181" s="28"/>
      <c r="AH181" s="65"/>
      <c r="AI181" s="28"/>
      <c r="AJ181" s="32"/>
    </row>
    <row r="182" spans="1:36" s="27" customFormat="1" ht="12.75" customHeight="1">
      <c r="A182" s="22"/>
      <c r="B182" s="22"/>
      <c r="C182" s="8"/>
      <c r="D182" s="34"/>
      <c r="E182" s="34"/>
      <c r="F182" s="15"/>
      <c r="G182" s="23"/>
      <c r="H182" s="24"/>
      <c r="I182" s="24"/>
      <c r="J182" s="24"/>
      <c r="K182" s="25"/>
      <c r="L182" s="26"/>
      <c r="M182" s="26"/>
      <c r="N182" s="26"/>
      <c r="O182" s="72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F182" s="28"/>
      <c r="AH182" s="65"/>
      <c r="AI182" s="28"/>
      <c r="AJ182" s="32"/>
    </row>
    <row r="183" spans="1:36" s="27" customFormat="1" ht="12.75" customHeight="1">
      <c r="A183" s="22"/>
      <c r="B183" s="22"/>
      <c r="C183" s="8"/>
      <c r="D183" s="34"/>
      <c r="E183" s="34"/>
      <c r="F183" s="15"/>
      <c r="G183" s="23"/>
      <c r="H183" s="24"/>
      <c r="I183" s="24"/>
      <c r="J183" s="24"/>
      <c r="K183" s="25"/>
      <c r="L183" s="26"/>
      <c r="M183" s="26"/>
      <c r="N183" s="26"/>
      <c r="O183" s="72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F183" s="28"/>
      <c r="AH183" s="65"/>
      <c r="AI183" s="28"/>
      <c r="AJ183" s="32"/>
    </row>
    <row r="184" spans="1:36" s="27" customFormat="1" ht="12.75" customHeight="1">
      <c r="A184" s="22"/>
      <c r="B184" s="22"/>
      <c r="C184" s="8"/>
      <c r="D184" s="34"/>
      <c r="E184" s="34"/>
      <c r="F184" s="15"/>
      <c r="G184" s="23"/>
      <c r="H184" s="24"/>
      <c r="I184" s="24"/>
      <c r="J184" s="24"/>
      <c r="K184" s="25"/>
      <c r="L184" s="26"/>
      <c r="M184" s="26"/>
      <c r="N184" s="26"/>
      <c r="O184" s="72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F184" s="28"/>
      <c r="AH184" s="65"/>
      <c r="AI184" s="28"/>
      <c r="AJ184" s="32"/>
    </row>
    <row r="185" spans="1:36" s="27" customFormat="1" ht="12.75" customHeight="1">
      <c r="A185" s="22"/>
      <c r="B185" s="22"/>
      <c r="C185" s="8"/>
      <c r="D185" s="34"/>
      <c r="E185" s="34"/>
      <c r="F185" s="15"/>
      <c r="G185" s="23"/>
      <c r="H185" s="24"/>
      <c r="I185" s="24"/>
      <c r="J185" s="24"/>
      <c r="K185" s="25"/>
      <c r="L185" s="26"/>
      <c r="M185" s="26"/>
      <c r="N185" s="26"/>
      <c r="O185" s="72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F185" s="28"/>
      <c r="AH185" s="65"/>
      <c r="AI185" s="28"/>
      <c r="AJ185" s="32"/>
    </row>
    <row r="186" spans="1:36" s="27" customFormat="1" ht="12.75" customHeight="1">
      <c r="A186" s="22"/>
      <c r="B186" s="22"/>
      <c r="C186" s="8"/>
      <c r="D186" s="34"/>
      <c r="E186" s="34"/>
      <c r="F186" s="15"/>
      <c r="G186" s="23"/>
      <c r="H186" s="24"/>
      <c r="I186" s="24"/>
      <c r="J186" s="24"/>
      <c r="K186" s="25"/>
      <c r="L186" s="26"/>
      <c r="M186" s="26"/>
      <c r="N186" s="26"/>
      <c r="O186" s="72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F186" s="28"/>
      <c r="AH186" s="65"/>
      <c r="AI186" s="28"/>
      <c r="AJ186" s="32"/>
    </row>
    <row r="187" spans="1:36" s="27" customFormat="1" ht="12.75" customHeight="1">
      <c r="A187" s="22"/>
      <c r="B187" s="22"/>
      <c r="C187" s="8"/>
      <c r="D187" s="34"/>
      <c r="E187" s="34"/>
      <c r="F187" s="15"/>
      <c r="G187" s="23"/>
      <c r="H187" s="24"/>
      <c r="I187" s="24"/>
      <c r="J187" s="24"/>
      <c r="K187" s="25"/>
      <c r="L187" s="26"/>
      <c r="M187" s="26"/>
      <c r="N187" s="26"/>
      <c r="O187" s="72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F187" s="28"/>
      <c r="AH187" s="65"/>
      <c r="AI187" s="28"/>
      <c r="AJ187" s="32"/>
    </row>
    <row r="188" spans="1:36" s="27" customFormat="1" ht="12.75" customHeight="1">
      <c r="A188" s="22"/>
      <c r="B188" s="22"/>
      <c r="C188" s="8"/>
      <c r="D188" s="34"/>
      <c r="E188" s="34"/>
      <c r="F188" s="15"/>
      <c r="G188" s="23"/>
      <c r="H188" s="24"/>
      <c r="I188" s="24"/>
      <c r="J188" s="24"/>
      <c r="K188" s="25"/>
      <c r="L188" s="26"/>
      <c r="M188" s="26"/>
      <c r="N188" s="26"/>
      <c r="O188" s="72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F188" s="28"/>
      <c r="AH188" s="65"/>
      <c r="AI188" s="28"/>
      <c r="AJ188" s="32"/>
    </row>
    <row r="189" spans="1:36" s="27" customFormat="1" ht="12.75" customHeight="1">
      <c r="A189" s="22"/>
      <c r="B189" s="22"/>
      <c r="C189" s="8"/>
      <c r="D189" s="34"/>
      <c r="E189" s="34"/>
      <c r="F189" s="15"/>
      <c r="G189" s="23"/>
      <c r="H189" s="24"/>
      <c r="I189" s="24"/>
      <c r="J189" s="24"/>
      <c r="K189" s="25"/>
      <c r="L189" s="26"/>
      <c r="M189" s="26"/>
      <c r="N189" s="26"/>
      <c r="O189" s="72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F189" s="28"/>
      <c r="AH189" s="65"/>
      <c r="AI189" s="28"/>
      <c r="AJ189" s="32"/>
    </row>
    <row r="190" spans="1:36" s="27" customFormat="1" ht="12.75" customHeight="1">
      <c r="A190" s="22"/>
      <c r="B190" s="22"/>
      <c r="C190" s="8"/>
      <c r="D190" s="34"/>
      <c r="E190" s="34"/>
      <c r="F190" s="15"/>
      <c r="G190" s="23"/>
      <c r="H190" s="24"/>
      <c r="I190" s="24"/>
      <c r="J190" s="24"/>
      <c r="K190" s="25"/>
      <c r="L190" s="26"/>
      <c r="M190" s="26"/>
      <c r="N190" s="26"/>
      <c r="O190" s="72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F190" s="28"/>
      <c r="AH190" s="65"/>
      <c r="AI190" s="28"/>
      <c r="AJ190" s="32"/>
    </row>
    <row r="191" spans="1:36" s="27" customFormat="1" ht="12.75" customHeight="1">
      <c r="A191" s="22"/>
      <c r="B191" s="22"/>
      <c r="C191" s="8"/>
      <c r="D191" s="34"/>
      <c r="E191" s="34"/>
      <c r="F191" s="15"/>
      <c r="G191" s="23"/>
      <c r="H191" s="24"/>
      <c r="I191" s="24"/>
      <c r="J191" s="24"/>
      <c r="K191" s="25"/>
      <c r="L191" s="26"/>
      <c r="M191" s="26"/>
      <c r="N191" s="26"/>
      <c r="O191" s="72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F191" s="28"/>
      <c r="AH191" s="65"/>
      <c r="AI191" s="28"/>
      <c r="AJ191" s="32"/>
    </row>
    <row r="192" spans="1:36" s="27" customFormat="1" ht="12.75" customHeight="1">
      <c r="A192" s="22"/>
      <c r="B192" s="22"/>
      <c r="C192" s="8"/>
      <c r="D192" s="34"/>
      <c r="E192" s="34"/>
      <c r="F192" s="15"/>
      <c r="G192" s="23"/>
      <c r="H192" s="24"/>
      <c r="I192" s="24"/>
      <c r="J192" s="24"/>
      <c r="K192" s="25"/>
      <c r="L192" s="26"/>
      <c r="M192" s="26"/>
      <c r="N192" s="26"/>
      <c r="O192" s="72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F192" s="28"/>
      <c r="AH192" s="65"/>
      <c r="AI192" s="28"/>
      <c r="AJ192" s="32"/>
    </row>
    <row r="193" spans="1:36" s="27" customFormat="1" ht="12.75" customHeight="1">
      <c r="A193" s="22"/>
      <c r="B193" s="22"/>
      <c r="C193" s="8"/>
      <c r="D193" s="34"/>
      <c r="E193" s="34"/>
      <c r="F193" s="15"/>
      <c r="G193" s="23"/>
      <c r="H193" s="24"/>
      <c r="I193" s="24"/>
      <c r="J193" s="24"/>
      <c r="K193" s="25"/>
      <c r="L193" s="26"/>
      <c r="M193" s="26"/>
      <c r="N193" s="26"/>
      <c r="O193" s="72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F193" s="28"/>
      <c r="AH193" s="65"/>
      <c r="AI193" s="28"/>
      <c r="AJ193" s="32"/>
    </row>
    <row r="194" spans="1:36" s="27" customFormat="1" ht="12.75" customHeight="1">
      <c r="A194" s="22"/>
      <c r="B194" s="22"/>
      <c r="C194" s="8"/>
      <c r="D194" s="34"/>
      <c r="E194" s="34"/>
      <c r="F194" s="15"/>
      <c r="G194" s="23"/>
      <c r="H194" s="24"/>
      <c r="I194" s="24"/>
      <c r="J194" s="24"/>
      <c r="K194" s="25"/>
      <c r="L194" s="26"/>
      <c r="M194" s="26"/>
      <c r="N194" s="26"/>
      <c r="O194" s="72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F194" s="28"/>
      <c r="AH194" s="65"/>
      <c r="AI194" s="28"/>
      <c r="AJ194" s="32"/>
    </row>
    <row r="195" spans="1:36" s="27" customFormat="1" ht="12.75" customHeight="1">
      <c r="A195" s="22"/>
      <c r="B195" s="22"/>
      <c r="C195" s="8"/>
      <c r="D195" s="34"/>
      <c r="E195" s="34"/>
      <c r="F195" s="15"/>
      <c r="G195" s="23"/>
      <c r="H195" s="24"/>
      <c r="I195" s="24"/>
      <c r="J195" s="24"/>
      <c r="K195" s="25"/>
      <c r="L195" s="26"/>
      <c r="M195" s="26"/>
      <c r="N195" s="26"/>
      <c r="O195" s="72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F195" s="28"/>
      <c r="AH195" s="65"/>
      <c r="AI195" s="28"/>
      <c r="AJ195" s="32"/>
    </row>
    <row r="196" spans="1:36" s="27" customFormat="1" ht="12.75" customHeight="1">
      <c r="A196" s="22"/>
      <c r="B196" s="22"/>
      <c r="C196" s="8"/>
      <c r="D196" s="34"/>
      <c r="E196" s="34"/>
      <c r="F196" s="15"/>
      <c r="G196" s="23"/>
      <c r="H196" s="24"/>
      <c r="I196" s="24"/>
      <c r="J196" s="24"/>
      <c r="K196" s="25"/>
      <c r="L196" s="26"/>
      <c r="M196" s="26"/>
      <c r="N196" s="26"/>
      <c r="O196" s="72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F196" s="28"/>
      <c r="AH196" s="65"/>
      <c r="AI196" s="28"/>
      <c r="AJ196" s="32"/>
    </row>
    <row r="197" spans="1:36" s="27" customFormat="1" ht="12.75" customHeight="1">
      <c r="A197" s="22"/>
      <c r="B197" s="22"/>
      <c r="C197" s="8"/>
      <c r="D197" s="34"/>
      <c r="E197" s="34"/>
      <c r="F197" s="15"/>
      <c r="G197" s="23"/>
      <c r="H197" s="24"/>
      <c r="I197" s="24"/>
      <c r="J197" s="24"/>
      <c r="K197" s="25"/>
      <c r="L197" s="26"/>
      <c r="M197" s="26"/>
      <c r="N197" s="26"/>
      <c r="O197" s="72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F197" s="28"/>
      <c r="AH197" s="65"/>
      <c r="AI197" s="28"/>
      <c r="AJ197" s="32"/>
    </row>
    <row r="198" spans="1:36" s="27" customFormat="1" ht="12.75" customHeight="1">
      <c r="A198" s="22"/>
      <c r="B198" s="22"/>
      <c r="C198" s="8"/>
      <c r="D198" s="34"/>
      <c r="E198" s="34"/>
      <c r="F198" s="15"/>
      <c r="G198" s="23"/>
      <c r="H198" s="24"/>
      <c r="I198" s="24"/>
      <c r="J198" s="24"/>
      <c r="K198" s="25"/>
      <c r="L198" s="26"/>
      <c r="M198" s="26"/>
      <c r="N198" s="26"/>
      <c r="O198" s="72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F198" s="28"/>
      <c r="AH198" s="65"/>
      <c r="AI198" s="28"/>
      <c r="AJ198" s="32"/>
    </row>
    <row r="199" spans="1:36" s="27" customFormat="1" ht="12.75" customHeight="1">
      <c r="A199" s="22"/>
      <c r="B199" s="22"/>
      <c r="C199" s="8"/>
      <c r="D199" s="34"/>
      <c r="E199" s="34"/>
      <c r="F199" s="15"/>
      <c r="G199" s="23"/>
      <c r="H199" s="24"/>
      <c r="I199" s="24"/>
      <c r="J199" s="24"/>
      <c r="K199" s="25"/>
      <c r="L199" s="26"/>
      <c r="M199" s="26"/>
      <c r="N199" s="26"/>
      <c r="O199" s="72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F199" s="28"/>
      <c r="AH199" s="65"/>
      <c r="AI199" s="28"/>
      <c r="AJ199" s="32"/>
    </row>
    <row r="200" spans="1:36" s="27" customFormat="1" ht="12.75" customHeight="1">
      <c r="A200" s="22"/>
      <c r="B200" s="22"/>
      <c r="C200" s="8"/>
      <c r="D200" s="34"/>
      <c r="E200" s="34"/>
      <c r="F200" s="15"/>
      <c r="G200" s="23"/>
      <c r="H200" s="24"/>
      <c r="I200" s="24"/>
      <c r="J200" s="24"/>
      <c r="K200" s="25"/>
      <c r="L200" s="26"/>
      <c r="M200" s="26"/>
      <c r="N200" s="26"/>
      <c r="O200" s="72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F200" s="28"/>
      <c r="AH200" s="65"/>
      <c r="AI200" s="28"/>
      <c r="AJ200" s="32"/>
    </row>
    <row r="201" spans="1:36" s="27" customFormat="1" ht="12.75" customHeight="1">
      <c r="A201" s="22"/>
      <c r="B201" s="22"/>
      <c r="C201" s="8"/>
      <c r="D201" s="34"/>
      <c r="E201" s="34"/>
      <c r="F201" s="15"/>
      <c r="G201" s="23"/>
      <c r="H201" s="24"/>
      <c r="I201" s="24"/>
      <c r="J201" s="24"/>
      <c r="K201" s="25"/>
      <c r="L201" s="26"/>
      <c r="M201" s="26"/>
      <c r="N201" s="26"/>
      <c r="O201" s="72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F201" s="28"/>
      <c r="AH201" s="65"/>
      <c r="AI201" s="28"/>
      <c r="AJ201" s="32"/>
    </row>
    <row r="202" spans="1:36" s="27" customFormat="1" ht="12.75" customHeight="1">
      <c r="A202" s="22"/>
      <c r="B202" s="22"/>
      <c r="C202" s="8"/>
      <c r="D202" s="34"/>
      <c r="E202" s="34"/>
      <c r="F202" s="15"/>
      <c r="G202" s="23"/>
      <c r="H202" s="24"/>
      <c r="I202" s="24"/>
      <c r="J202" s="24"/>
      <c r="K202" s="25"/>
      <c r="L202" s="26"/>
      <c r="M202" s="26"/>
      <c r="N202" s="26"/>
      <c r="O202" s="72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F202" s="28"/>
      <c r="AH202" s="65"/>
      <c r="AI202" s="28"/>
      <c r="AJ202" s="32"/>
    </row>
    <row r="203" spans="1:36" s="27" customFormat="1" ht="12.75" customHeight="1">
      <c r="A203" s="22"/>
      <c r="B203" s="22"/>
      <c r="C203" s="8"/>
      <c r="D203" s="34"/>
      <c r="E203" s="34"/>
      <c r="F203" s="15"/>
      <c r="G203" s="23"/>
      <c r="H203" s="24"/>
      <c r="I203" s="24"/>
      <c r="J203" s="24"/>
      <c r="K203" s="25"/>
      <c r="L203" s="26"/>
      <c r="M203" s="26"/>
      <c r="N203" s="26"/>
      <c r="O203" s="72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F203" s="28"/>
      <c r="AH203" s="65"/>
      <c r="AI203" s="28"/>
      <c r="AJ203" s="32"/>
    </row>
    <row r="204" spans="1:36" s="27" customFormat="1" ht="12.75" customHeight="1">
      <c r="A204" s="22"/>
      <c r="B204" s="22"/>
      <c r="C204" s="8"/>
      <c r="D204" s="34"/>
      <c r="E204" s="34"/>
      <c r="F204" s="15"/>
      <c r="G204" s="23"/>
      <c r="H204" s="24"/>
      <c r="I204" s="24"/>
      <c r="J204" s="24"/>
      <c r="K204" s="25"/>
      <c r="L204" s="26"/>
      <c r="M204" s="26"/>
      <c r="N204" s="26"/>
      <c r="O204" s="72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F204" s="28"/>
      <c r="AH204" s="65"/>
      <c r="AI204" s="28"/>
      <c r="AJ204" s="32"/>
    </row>
    <row r="205" spans="1:36" s="27" customFormat="1" ht="12.75" customHeight="1">
      <c r="A205" s="22"/>
      <c r="B205" s="22"/>
      <c r="C205" s="8"/>
      <c r="D205" s="34"/>
      <c r="E205" s="34"/>
      <c r="F205" s="15"/>
      <c r="G205" s="23"/>
      <c r="H205" s="24"/>
      <c r="I205" s="24"/>
      <c r="J205" s="24"/>
      <c r="K205" s="25"/>
      <c r="L205" s="26"/>
      <c r="M205" s="26"/>
      <c r="N205" s="26"/>
      <c r="O205" s="72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F205" s="28"/>
      <c r="AH205" s="65"/>
      <c r="AI205" s="28"/>
      <c r="AJ205" s="32"/>
    </row>
    <row r="206" spans="1:36" s="27" customFormat="1" ht="12.75" customHeight="1">
      <c r="A206" s="22"/>
      <c r="B206" s="22"/>
      <c r="C206" s="8"/>
      <c r="D206" s="34"/>
      <c r="E206" s="34"/>
      <c r="F206" s="15"/>
      <c r="G206" s="23"/>
      <c r="H206" s="24"/>
      <c r="I206" s="24"/>
      <c r="J206" s="24"/>
      <c r="K206" s="25"/>
      <c r="L206" s="26"/>
      <c r="M206" s="26"/>
      <c r="N206" s="26"/>
      <c r="O206" s="72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F206" s="28"/>
      <c r="AH206" s="65"/>
      <c r="AI206" s="28"/>
      <c r="AJ206" s="32"/>
    </row>
    <row r="207" spans="1:36" s="27" customFormat="1" ht="12.75" customHeight="1">
      <c r="A207" s="22"/>
      <c r="B207" s="22"/>
      <c r="C207" s="8"/>
      <c r="D207" s="34"/>
      <c r="E207" s="34"/>
      <c r="F207" s="15"/>
      <c r="G207" s="23"/>
      <c r="H207" s="24"/>
      <c r="I207" s="24"/>
      <c r="J207" s="24"/>
      <c r="K207" s="25"/>
      <c r="L207" s="26"/>
      <c r="M207" s="26"/>
      <c r="N207" s="26"/>
      <c r="O207" s="72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F207" s="28"/>
      <c r="AH207" s="65"/>
      <c r="AI207" s="28"/>
      <c r="AJ207" s="32"/>
    </row>
    <row r="208" spans="1:36" s="27" customFormat="1" ht="12.75" customHeight="1">
      <c r="A208" s="22"/>
      <c r="B208" s="22"/>
      <c r="C208" s="8"/>
      <c r="D208" s="34"/>
      <c r="E208" s="34"/>
      <c r="F208" s="15"/>
      <c r="G208" s="23"/>
      <c r="H208" s="24"/>
      <c r="I208" s="24"/>
      <c r="J208" s="24"/>
      <c r="K208" s="25"/>
      <c r="L208" s="26"/>
      <c r="M208" s="26"/>
      <c r="N208" s="26"/>
      <c r="O208" s="72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F208" s="28"/>
      <c r="AH208" s="65"/>
      <c r="AI208" s="28"/>
      <c r="AJ208" s="32"/>
    </row>
    <row r="209" spans="1:36" s="27" customFormat="1" ht="12.75" customHeight="1">
      <c r="A209" s="22"/>
      <c r="B209" s="22"/>
      <c r="C209" s="8"/>
      <c r="D209" s="34"/>
      <c r="E209" s="34"/>
      <c r="F209" s="15"/>
      <c r="G209" s="23"/>
      <c r="H209" s="24"/>
      <c r="I209" s="24"/>
      <c r="J209" s="24"/>
      <c r="K209" s="25"/>
      <c r="L209" s="26"/>
      <c r="M209" s="26"/>
      <c r="N209" s="26"/>
      <c r="O209" s="72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F209" s="28"/>
      <c r="AH209" s="65"/>
      <c r="AI209" s="28"/>
      <c r="AJ209" s="32"/>
    </row>
    <row r="210" spans="1:36" s="27" customFormat="1" ht="12.75" customHeight="1">
      <c r="A210" s="22"/>
      <c r="B210" s="22"/>
      <c r="C210" s="8"/>
      <c r="D210" s="34"/>
      <c r="E210" s="34"/>
      <c r="F210" s="15"/>
      <c r="G210" s="23"/>
      <c r="H210" s="24"/>
      <c r="I210" s="24"/>
      <c r="J210" s="24"/>
      <c r="K210" s="25"/>
      <c r="L210" s="26"/>
      <c r="M210" s="26"/>
      <c r="N210" s="26"/>
      <c r="O210" s="72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F210" s="28"/>
      <c r="AH210" s="65"/>
      <c r="AI210" s="28"/>
      <c r="AJ210" s="32"/>
    </row>
    <row r="211" spans="1:36" s="27" customFormat="1" ht="12.75" customHeight="1">
      <c r="A211" s="22"/>
      <c r="B211" s="22"/>
      <c r="C211" s="8"/>
      <c r="D211" s="34"/>
      <c r="E211" s="34"/>
      <c r="F211" s="15"/>
      <c r="G211" s="23"/>
      <c r="H211" s="24"/>
      <c r="I211" s="24"/>
      <c r="J211" s="24"/>
      <c r="K211" s="25"/>
      <c r="L211" s="26"/>
      <c r="M211" s="26"/>
      <c r="N211" s="26"/>
      <c r="O211" s="72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F211" s="28"/>
      <c r="AH211" s="65"/>
      <c r="AI211" s="28"/>
      <c r="AJ211" s="32"/>
    </row>
    <row r="212" spans="1:36" s="27" customFormat="1" ht="12.75" customHeight="1">
      <c r="A212" s="22"/>
      <c r="B212" s="22"/>
      <c r="C212" s="8"/>
      <c r="D212" s="34"/>
      <c r="E212" s="34"/>
      <c r="F212" s="15"/>
      <c r="G212" s="23"/>
      <c r="H212" s="24"/>
      <c r="I212" s="24"/>
      <c r="J212" s="24"/>
      <c r="K212" s="25"/>
      <c r="L212" s="26"/>
      <c r="M212" s="26"/>
      <c r="N212" s="26"/>
      <c r="O212" s="72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F212" s="28"/>
      <c r="AH212" s="65"/>
      <c r="AI212" s="28"/>
      <c r="AJ212" s="32"/>
    </row>
    <row r="213" spans="1:36" s="27" customFormat="1" ht="12.75" customHeight="1">
      <c r="A213" s="22"/>
      <c r="B213" s="22"/>
      <c r="C213" s="8"/>
      <c r="D213" s="34"/>
      <c r="E213" s="34"/>
      <c r="F213" s="15"/>
      <c r="G213" s="23"/>
      <c r="H213" s="24"/>
      <c r="I213" s="24"/>
      <c r="J213" s="24"/>
      <c r="K213" s="25"/>
      <c r="L213" s="26"/>
      <c r="M213" s="26"/>
      <c r="N213" s="26"/>
      <c r="O213" s="72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F213" s="28"/>
      <c r="AH213" s="65"/>
      <c r="AI213" s="28"/>
      <c r="AJ213" s="32"/>
    </row>
    <row r="214" spans="1:36" s="27" customFormat="1" ht="12.75" customHeight="1">
      <c r="A214" s="22"/>
      <c r="B214" s="22"/>
      <c r="C214" s="8"/>
      <c r="D214" s="34"/>
      <c r="E214" s="34"/>
      <c r="F214" s="15"/>
      <c r="G214" s="23"/>
      <c r="H214" s="24"/>
      <c r="I214" s="24"/>
      <c r="J214" s="24"/>
      <c r="K214" s="25"/>
      <c r="L214" s="26"/>
      <c r="M214" s="26"/>
      <c r="N214" s="26"/>
      <c r="O214" s="72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F214" s="28"/>
      <c r="AH214" s="65"/>
      <c r="AI214" s="28"/>
      <c r="AJ214" s="32"/>
    </row>
    <row r="215" spans="1:36" s="27" customFormat="1" ht="12.75" customHeight="1">
      <c r="A215" s="22"/>
      <c r="B215" s="22"/>
      <c r="C215" s="8"/>
      <c r="D215" s="34"/>
      <c r="E215" s="34"/>
      <c r="F215" s="15"/>
      <c r="G215" s="23"/>
      <c r="H215" s="24"/>
      <c r="I215" s="24"/>
      <c r="J215" s="24"/>
      <c r="K215" s="25"/>
      <c r="L215" s="26"/>
      <c r="M215" s="26"/>
      <c r="N215" s="26"/>
      <c r="O215" s="72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F215" s="28"/>
      <c r="AH215" s="65"/>
      <c r="AI215" s="28"/>
      <c r="AJ215" s="32"/>
    </row>
    <row r="216" spans="1:36" s="27" customFormat="1" ht="12.75" customHeight="1">
      <c r="A216" s="22"/>
      <c r="B216" s="22"/>
      <c r="C216" s="8"/>
      <c r="D216" s="34"/>
      <c r="E216" s="34"/>
      <c r="F216" s="15"/>
      <c r="G216" s="23"/>
      <c r="H216" s="24"/>
      <c r="I216" s="24"/>
      <c r="J216" s="24"/>
      <c r="K216" s="25"/>
      <c r="L216" s="26"/>
      <c r="M216" s="26"/>
      <c r="N216" s="26"/>
      <c r="O216" s="72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F216" s="28"/>
      <c r="AH216" s="65"/>
      <c r="AI216" s="28"/>
      <c r="AJ216" s="32"/>
    </row>
    <row r="217" spans="1:36" s="27" customFormat="1" ht="12.75" customHeight="1">
      <c r="A217" s="22"/>
      <c r="B217" s="22"/>
      <c r="C217" s="8"/>
      <c r="D217" s="34"/>
      <c r="E217" s="34"/>
      <c r="F217" s="15"/>
      <c r="G217" s="23"/>
      <c r="H217" s="24"/>
      <c r="I217" s="24"/>
      <c r="J217" s="24"/>
      <c r="K217" s="25"/>
      <c r="L217" s="26"/>
      <c r="M217" s="26"/>
      <c r="N217" s="26"/>
      <c r="O217" s="72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F217" s="28"/>
      <c r="AH217" s="65"/>
      <c r="AI217" s="28"/>
      <c r="AJ217" s="32"/>
    </row>
    <row r="218" spans="1:36" s="27" customFormat="1" ht="12.75" customHeight="1">
      <c r="A218" s="22"/>
      <c r="B218" s="22"/>
      <c r="C218" s="8"/>
      <c r="D218" s="34"/>
      <c r="E218" s="34"/>
      <c r="F218" s="15"/>
      <c r="G218" s="23"/>
      <c r="H218" s="24"/>
      <c r="I218" s="24"/>
      <c r="J218" s="24"/>
      <c r="K218" s="25"/>
      <c r="L218" s="26"/>
      <c r="M218" s="26"/>
      <c r="N218" s="26"/>
      <c r="O218" s="72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F218" s="28"/>
      <c r="AH218" s="65"/>
      <c r="AI218" s="28"/>
      <c r="AJ218" s="32"/>
    </row>
    <row r="219" spans="1:36" s="27" customFormat="1" ht="12.75" customHeight="1">
      <c r="A219" s="22"/>
      <c r="B219" s="22"/>
      <c r="C219" s="8"/>
      <c r="D219" s="34"/>
      <c r="E219" s="34"/>
      <c r="F219" s="15"/>
      <c r="G219" s="23"/>
      <c r="H219" s="24"/>
      <c r="I219" s="24"/>
      <c r="J219" s="24"/>
      <c r="K219" s="25"/>
      <c r="L219" s="26"/>
      <c r="M219" s="26"/>
      <c r="N219" s="26"/>
      <c r="O219" s="72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F219" s="28"/>
      <c r="AH219" s="65"/>
      <c r="AI219" s="28"/>
      <c r="AJ219" s="32"/>
    </row>
    <row r="220" spans="1:36" s="27" customFormat="1" ht="12.75" customHeight="1">
      <c r="A220" s="22"/>
      <c r="B220" s="22"/>
      <c r="C220" s="8"/>
      <c r="D220" s="34"/>
      <c r="E220" s="34"/>
      <c r="F220" s="15"/>
      <c r="G220" s="23"/>
      <c r="H220" s="24"/>
      <c r="I220" s="24"/>
      <c r="J220" s="24"/>
      <c r="K220" s="25"/>
      <c r="L220" s="26"/>
      <c r="M220" s="26"/>
      <c r="N220" s="26"/>
      <c r="O220" s="72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F220" s="28"/>
      <c r="AH220" s="65"/>
      <c r="AI220" s="28"/>
      <c r="AJ220" s="32"/>
    </row>
    <row r="221" spans="1:36" s="27" customFormat="1" ht="12.75" customHeight="1">
      <c r="A221" s="22"/>
      <c r="B221" s="22"/>
      <c r="C221" s="8"/>
      <c r="D221" s="34"/>
      <c r="E221" s="34"/>
      <c r="F221" s="15"/>
      <c r="G221" s="23"/>
      <c r="H221" s="24"/>
      <c r="I221" s="24"/>
      <c r="J221" s="24"/>
      <c r="K221" s="25"/>
      <c r="L221" s="26"/>
      <c r="M221" s="26"/>
      <c r="N221" s="26"/>
      <c r="O221" s="72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F221" s="28"/>
      <c r="AH221" s="65"/>
      <c r="AI221" s="28"/>
      <c r="AJ221" s="32"/>
    </row>
    <row r="222" spans="1:36" s="27" customFormat="1" ht="12.75" customHeight="1">
      <c r="A222" s="22"/>
      <c r="B222" s="22"/>
      <c r="C222" s="8"/>
      <c r="D222" s="34"/>
      <c r="E222" s="34"/>
      <c r="F222" s="15"/>
      <c r="G222" s="23"/>
      <c r="H222" s="24"/>
      <c r="I222" s="24"/>
      <c r="J222" s="24"/>
      <c r="K222" s="25"/>
      <c r="L222" s="26"/>
      <c r="M222" s="26"/>
      <c r="N222" s="26"/>
      <c r="O222" s="72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F222" s="28"/>
      <c r="AH222" s="65"/>
      <c r="AI222" s="28"/>
      <c r="AJ222" s="32"/>
    </row>
    <row r="223" spans="1:36" s="27" customFormat="1" ht="12.75" customHeight="1">
      <c r="A223" s="22"/>
      <c r="B223" s="22"/>
      <c r="C223" s="8"/>
      <c r="D223" s="34"/>
      <c r="E223" s="34"/>
      <c r="F223" s="15"/>
      <c r="G223" s="23"/>
      <c r="H223" s="24"/>
      <c r="I223" s="24"/>
      <c r="J223" s="24"/>
      <c r="K223" s="25"/>
      <c r="L223" s="26"/>
      <c r="M223" s="26"/>
      <c r="N223" s="26"/>
      <c r="O223" s="72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F223" s="28"/>
      <c r="AH223" s="65"/>
      <c r="AI223" s="28"/>
      <c r="AJ223" s="32"/>
    </row>
    <row r="224" spans="1:36" s="27" customFormat="1" ht="12.75" customHeight="1">
      <c r="A224" s="22"/>
      <c r="B224" s="22"/>
      <c r="C224" s="8"/>
      <c r="D224" s="34"/>
      <c r="E224" s="34"/>
      <c r="F224" s="15"/>
      <c r="G224" s="23"/>
      <c r="H224" s="24"/>
      <c r="I224" s="24"/>
      <c r="J224" s="24"/>
      <c r="K224" s="25"/>
      <c r="L224" s="26"/>
      <c r="M224" s="26"/>
      <c r="N224" s="26"/>
      <c r="O224" s="72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F224" s="28"/>
      <c r="AH224" s="65"/>
      <c r="AI224" s="28"/>
      <c r="AJ224" s="32"/>
    </row>
    <row r="225" spans="1:36" s="27" customFormat="1" ht="12.75" customHeight="1">
      <c r="A225" s="22"/>
      <c r="B225" s="22"/>
      <c r="C225" s="8"/>
      <c r="D225" s="34"/>
      <c r="E225" s="34"/>
      <c r="F225" s="15"/>
      <c r="G225" s="23"/>
      <c r="H225" s="24"/>
      <c r="I225" s="24"/>
      <c r="J225" s="24"/>
      <c r="K225" s="25"/>
      <c r="L225" s="26"/>
      <c r="M225" s="26"/>
      <c r="N225" s="26"/>
      <c r="O225" s="72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F225" s="28"/>
      <c r="AH225" s="65"/>
      <c r="AI225" s="28"/>
      <c r="AJ225" s="32"/>
    </row>
    <row r="226" spans="1:36" s="27" customFormat="1" ht="12.75" customHeight="1">
      <c r="A226" s="22"/>
      <c r="B226" s="22"/>
      <c r="C226" s="8"/>
      <c r="D226" s="34"/>
      <c r="E226" s="34"/>
      <c r="F226" s="15"/>
      <c r="G226" s="23"/>
      <c r="H226" s="24"/>
      <c r="I226" s="24"/>
      <c r="J226" s="24"/>
      <c r="K226" s="25"/>
      <c r="L226" s="26"/>
      <c r="M226" s="26"/>
      <c r="N226" s="26"/>
      <c r="O226" s="72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F226" s="28"/>
      <c r="AH226" s="65"/>
      <c r="AI226" s="28"/>
      <c r="AJ226" s="32"/>
    </row>
    <row r="227" spans="1:36" s="27" customFormat="1" ht="12.75" customHeight="1">
      <c r="A227" s="22"/>
      <c r="B227" s="22"/>
      <c r="C227" s="8"/>
      <c r="D227" s="34"/>
      <c r="E227" s="34"/>
      <c r="F227" s="15"/>
      <c r="G227" s="23"/>
      <c r="H227" s="24"/>
      <c r="I227" s="24"/>
      <c r="J227" s="24"/>
      <c r="K227" s="25"/>
      <c r="L227" s="26"/>
      <c r="M227" s="26"/>
      <c r="N227" s="26"/>
      <c r="O227" s="72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F227" s="28"/>
      <c r="AH227" s="65"/>
      <c r="AI227" s="28"/>
      <c r="AJ227" s="32"/>
    </row>
    <row r="228" spans="1:36" s="27" customFormat="1" ht="12.75" customHeight="1">
      <c r="A228" s="22"/>
      <c r="B228" s="22"/>
      <c r="C228" s="8"/>
      <c r="D228" s="34"/>
      <c r="E228" s="34"/>
      <c r="F228" s="15"/>
      <c r="G228" s="23"/>
      <c r="H228" s="24"/>
      <c r="I228" s="24"/>
      <c r="J228" s="24"/>
      <c r="K228" s="25"/>
      <c r="L228" s="26"/>
      <c r="M228" s="26"/>
      <c r="N228" s="26"/>
      <c r="O228" s="72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F228" s="28"/>
      <c r="AH228" s="65"/>
      <c r="AI228" s="28"/>
      <c r="AJ228" s="32"/>
    </row>
    <row r="229" spans="1:36" s="27" customFormat="1" ht="12.75" customHeight="1">
      <c r="A229" s="22"/>
      <c r="B229" s="22"/>
      <c r="C229" s="8"/>
      <c r="D229" s="34"/>
      <c r="E229" s="34"/>
      <c r="F229" s="15"/>
      <c r="G229" s="23"/>
      <c r="H229" s="24"/>
      <c r="I229" s="24"/>
      <c r="J229" s="24"/>
      <c r="K229" s="25"/>
      <c r="L229" s="26"/>
      <c r="M229" s="26"/>
      <c r="N229" s="26"/>
      <c r="O229" s="72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F229" s="28"/>
      <c r="AH229" s="65"/>
      <c r="AI229" s="28"/>
      <c r="AJ229" s="32"/>
    </row>
    <row r="230" spans="1:36" s="27" customFormat="1" ht="12.75" customHeight="1">
      <c r="A230" s="22"/>
      <c r="B230" s="22"/>
      <c r="C230" s="8"/>
      <c r="D230" s="34"/>
      <c r="E230" s="34"/>
      <c r="F230" s="15"/>
      <c r="G230" s="23"/>
      <c r="H230" s="24"/>
      <c r="I230" s="24"/>
      <c r="J230" s="24"/>
      <c r="K230" s="25"/>
      <c r="L230" s="26"/>
      <c r="M230" s="26"/>
      <c r="N230" s="26"/>
      <c r="O230" s="72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F230" s="28"/>
      <c r="AH230" s="65"/>
      <c r="AI230" s="28"/>
      <c r="AJ230" s="32"/>
    </row>
    <row r="231" spans="1:36" s="27" customFormat="1" ht="12.75" customHeight="1">
      <c r="A231" s="22"/>
      <c r="B231" s="22"/>
      <c r="C231" s="8"/>
      <c r="D231" s="34"/>
      <c r="E231" s="34"/>
      <c r="F231" s="15"/>
      <c r="G231" s="23"/>
      <c r="H231" s="24"/>
      <c r="I231" s="24"/>
      <c r="J231" s="24"/>
      <c r="K231" s="25"/>
      <c r="L231" s="26"/>
      <c r="M231" s="26"/>
      <c r="N231" s="26"/>
      <c r="O231" s="72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F231" s="28"/>
      <c r="AH231" s="65"/>
      <c r="AI231" s="28"/>
      <c r="AJ231" s="32"/>
    </row>
    <row r="232" spans="1:36" s="27" customFormat="1" ht="12.75" customHeight="1">
      <c r="A232" s="22"/>
      <c r="B232" s="22"/>
      <c r="C232" s="8"/>
      <c r="D232" s="34"/>
      <c r="E232" s="34"/>
      <c r="F232" s="15"/>
      <c r="G232" s="23"/>
      <c r="H232" s="24"/>
      <c r="I232" s="24"/>
      <c r="J232" s="24"/>
      <c r="K232" s="25"/>
      <c r="L232" s="26"/>
      <c r="M232" s="26"/>
      <c r="N232" s="26"/>
      <c r="O232" s="72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F232" s="28"/>
      <c r="AH232" s="65"/>
      <c r="AI232" s="28"/>
      <c r="AJ232" s="32"/>
    </row>
    <row r="233" spans="1:36" s="27" customFormat="1" ht="12.75" customHeight="1">
      <c r="A233" s="22"/>
      <c r="B233" s="22"/>
      <c r="C233" s="8"/>
      <c r="D233" s="34"/>
      <c r="E233" s="34"/>
      <c r="F233" s="15"/>
      <c r="G233" s="23"/>
      <c r="H233" s="24"/>
      <c r="I233" s="24"/>
      <c r="J233" s="24"/>
      <c r="K233" s="25"/>
      <c r="L233" s="26"/>
      <c r="M233" s="26"/>
      <c r="N233" s="26"/>
      <c r="O233" s="72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F233" s="28"/>
      <c r="AH233" s="65"/>
      <c r="AI233" s="28"/>
      <c r="AJ233" s="32"/>
    </row>
    <row r="234" spans="1:36" s="27" customFormat="1" ht="12.75" customHeight="1">
      <c r="A234" s="22"/>
      <c r="B234" s="22"/>
      <c r="C234" s="8"/>
      <c r="D234" s="34"/>
      <c r="E234" s="34"/>
      <c r="F234" s="15"/>
      <c r="G234" s="23"/>
      <c r="H234" s="24"/>
      <c r="I234" s="24"/>
      <c r="J234" s="24"/>
      <c r="K234" s="25"/>
      <c r="L234" s="26"/>
      <c r="M234" s="26"/>
      <c r="N234" s="26"/>
      <c r="O234" s="72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F234" s="28"/>
      <c r="AH234" s="65"/>
      <c r="AI234" s="28"/>
      <c r="AJ234" s="32"/>
    </row>
    <row r="235" spans="1:36" s="27" customFormat="1" ht="12.75" customHeight="1">
      <c r="A235" s="22"/>
      <c r="B235" s="22"/>
      <c r="C235" s="8"/>
      <c r="D235" s="34"/>
      <c r="E235" s="34"/>
      <c r="F235" s="15"/>
      <c r="G235" s="23"/>
      <c r="H235" s="24"/>
      <c r="I235" s="24"/>
      <c r="J235" s="24"/>
      <c r="K235" s="25"/>
      <c r="L235" s="26"/>
      <c r="M235" s="26"/>
      <c r="N235" s="26"/>
      <c r="O235" s="72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F235" s="28"/>
      <c r="AH235" s="65"/>
      <c r="AI235" s="28"/>
      <c r="AJ235" s="32"/>
    </row>
    <row r="236" spans="1:36" s="27" customFormat="1" ht="12.75" customHeight="1">
      <c r="A236" s="22"/>
      <c r="B236" s="22"/>
      <c r="C236" s="8"/>
      <c r="D236" s="34"/>
      <c r="E236" s="34"/>
      <c r="F236" s="15"/>
      <c r="G236" s="23"/>
      <c r="H236" s="24"/>
      <c r="I236" s="24"/>
      <c r="J236" s="24"/>
      <c r="K236" s="25"/>
      <c r="L236" s="26"/>
      <c r="M236" s="26"/>
      <c r="N236" s="26"/>
      <c r="O236" s="72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F236" s="28"/>
      <c r="AH236" s="65"/>
      <c r="AI236" s="28"/>
      <c r="AJ236" s="32"/>
    </row>
    <row r="237" spans="1:36" s="27" customFormat="1" ht="12.75" customHeight="1">
      <c r="A237" s="22"/>
      <c r="B237" s="22"/>
      <c r="C237" s="8"/>
      <c r="D237" s="34"/>
      <c r="E237" s="34"/>
      <c r="F237" s="15"/>
      <c r="G237" s="23"/>
      <c r="H237" s="24"/>
      <c r="I237" s="24"/>
      <c r="J237" s="24"/>
      <c r="K237" s="25"/>
      <c r="L237" s="26"/>
      <c r="M237" s="26"/>
      <c r="N237" s="26"/>
      <c r="O237" s="72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F237" s="28"/>
      <c r="AH237" s="65"/>
      <c r="AI237" s="28"/>
      <c r="AJ237" s="32"/>
    </row>
    <row r="238" spans="1:36" s="27" customFormat="1" ht="12.75" customHeight="1">
      <c r="A238" s="22"/>
      <c r="B238" s="22"/>
      <c r="C238" s="8"/>
      <c r="D238" s="34"/>
      <c r="E238" s="34"/>
      <c r="F238" s="15"/>
      <c r="G238" s="23"/>
      <c r="H238" s="24"/>
      <c r="I238" s="24"/>
      <c r="J238" s="24"/>
      <c r="K238" s="25"/>
      <c r="L238" s="26"/>
      <c r="M238" s="26"/>
      <c r="N238" s="26"/>
      <c r="O238" s="72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F238" s="28"/>
      <c r="AH238" s="65"/>
      <c r="AI238" s="28"/>
      <c r="AJ238" s="32"/>
    </row>
    <row r="239" spans="1:36" s="27" customFormat="1" ht="12.75" customHeight="1">
      <c r="A239" s="22"/>
      <c r="B239" s="22"/>
      <c r="C239" s="8"/>
      <c r="D239" s="34"/>
      <c r="E239" s="34"/>
      <c r="F239" s="15"/>
      <c r="G239" s="23"/>
      <c r="H239" s="24"/>
      <c r="I239" s="24"/>
      <c r="J239" s="24"/>
      <c r="K239" s="25"/>
      <c r="L239" s="26"/>
      <c r="M239" s="26"/>
      <c r="N239" s="26"/>
      <c r="O239" s="72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F239" s="28"/>
      <c r="AH239" s="65"/>
      <c r="AI239" s="28"/>
      <c r="AJ239" s="32"/>
    </row>
    <row r="240" spans="1:36" s="27" customFormat="1" ht="12.75" customHeight="1">
      <c r="A240" s="22"/>
      <c r="B240" s="22"/>
      <c r="C240" s="8"/>
      <c r="D240" s="34"/>
      <c r="E240" s="34"/>
      <c r="F240" s="15"/>
      <c r="G240" s="23"/>
      <c r="H240" s="24"/>
      <c r="I240" s="24"/>
      <c r="J240" s="24"/>
      <c r="K240" s="25"/>
      <c r="L240" s="26"/>
      <c r="M240" s="26"/>
      <c r="N240" s="26"/>
      <c r="O240" s="72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F240" s="28"/>
      <c r="AH240" s="65"/>
      <c r="AI240" s="28"/>
      <c r="AJ240" s="32"/>
    </row>
    <row r="241" spans="1:36" s="27" customFormat="1" ht="12.75" customHeight="1">
      <c r="A241" s="22"/>
      <c r="B241" s="22"/>
      <c r="C241" s="8"/>
      <c r="D241" s="34"/>
      <c r="E241" s="34"/>
      <c r="F241" s="15"/>
      <c r="G241" s="23"/>
      <c r="H241" s="24"/>
      <c r="I241" s="24"/>
      <c r="J241" s="24"/>
      <c r="K241" s="25"/>
      <c r="L241" s="26"/>
      <c r="M241" s="26"/>
      <c r="N241" s="26"/>
      <c r="O241" s="72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F241" s="28"/>
      <c r="AH241" s="65"/>
      <c r="AI241" s="28"/>
      <c r="AJ241" s="32"/>
    </row>
    <row r="242" spans="1:36" s="27" customFormat="1" ht="12.75" customHeight="1">
      <c r="A242" s="22"/>
      <c r="B242" s="22"/>
      <c r="C242" s="8"/>
      <c r="D242" s="34"/>
      <c r="E242" s="34"/>
      <c r="F242" s="15"/>
      <c r="G242" s="23"/>
      <c r="H242" s="24"/>
      <c r="I242" s="24"/>
      <c r="J242" s="24"/>
      <c r="K242" s="25"/>
      <c r="L242" s="26"/>
      <c r="M242" s="26"/>
      <c r="N242" s="26"/>
      <c r="O242" s="72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F242" s="28"/>
      <c r="AH242" s="65"/>
      <c r="AI242" s="28"/>
      <c r="AJ242" s="32"/>
    </row>
    <row r="243" spans="1:36" s="27" customFormat="1" ht="12.75" customHeight="1">
      <c r="A243" s="22"/>
      <c r="B243" s="22"/>
      <c r="C243" s="8"/>
      <c r="D243" s="34"/>
      <c r="E243" s="34"/>
      <c r="F243" s="15"/>
      <c r="G243" s="23"/>
      <c r="H243" s="24"/>
      <c r="I243" s="24"/>
      <c r="J243" s="24"/>
      <c r="K243" s="25"/>
      <c r="L243" s="26"/>
      <c r="M243" s="26"/>
      <c r="N243" s="26"/>
      <c r="O243" s="72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F243" s="28"/>
      <c r="AH243" s="65"/>
      <c r="AI243" s="28"/>
      <c r="AJ243" s="32"/>
    </row>
    <row r="244" spans="1:36" s="27" customFormat="1" ht="12.75" customHeight="1">
      <c r="A244" s="22"/>
      <c r="B244" s="22"/>
      <c r="C244" s="8"/>
      <c r="D244" s="34"/>
      <c r="E244" s="34"/>
      <c r="F244" s="15"/>
      <c r="G244" s="23"/>
      <c r="H244" s="24"/>
      <c r="I244" s="24"/>
      <c r="J244" s="24"/>
      <c r="K244" s="25"/>
      <c r="L244" s="26"/>
      <c r="M244" s="26"/>
      <c r="N244" s="26"/>
      <c r="O244" s="72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F244" s="28"/>
      <c r="AH244" s="65"/>
      <c r="AI244" s="28"/>
      <c r="AJ244" s="32"/>
    </row>
    <row r="245" spans="1:36" s="27" customFormat="1" ht="12.75" customHeight="1">
      <c r="A245" s="22"/>
      <c r="B245" s="22"/>
      <c r="C245" s="8"/>
      <c r="D245" s="34"/>
      <c r="E245" s="34"/>
      <c r="F245" s="15"/>
      <c r="G245" s="23"/>
      <c r="H245" s="24"/>
      <c r="I245" s="24"/>
      <c r="J245" s="24"/>
      <c r="K245" s="25"/>
      <c r="L245" s="26"/>
      <c r="M245" s="26"/>
      <c r="N245" s="26"/>
      <c r="O245" s="72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F245" s="28"/>
      <c r="AH245" s="65"/>
      <c r="AI245" s="28"/>
      <c r="AJ245" s="32"/>
    </row>
    <row r="246" spans="1:36" s="27" customFormat="1" ht="12.75" customHeight="1">
      <c r="A246" s="22"/>
      <c r="B246" s="22"/>
      <c r="C246" s="8"/>
      <c r="D246" s="34"/>
      <c r="E246" s="34"/>
      <c r="F246" s="15"/>
      <c r="G246" s="23"/>
      <c r="H246" s="24"/>
      <c r="I246" s="24"/>
      <c r="J246" s="24"/>
      <c r="K246" s="25"/>
      <c r="L246" s="26"/>
      <c r="M246" s="26"/>
      <c r="N246" s="26"/>
      <c r="O246" s="72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F246" s="28"/>
      <c r="AH246" s="65"/>
      <c r="AI246" s="28"/>
      <c r="AJ246" s="32"/>
    </row>
    <row r="247" spans="1:36" s="27" customFormat="1" ht="12.75" customHeight="1">
      <c r="A247" s="22"/>
      <c r="B247" s="22"/>
      <c r="C247" s="8"/>
      <c r="D247" s="34"/>
      <c r="E247" s="34"/>
      <c r="F247" s="15"/>
      <c r="G247" s="23"/>
      <c r="H247" s="24"/>
      <c r="I247" s="24"/>
      <c r="J247" s="24"/>
      <c r="K247" s="25"/>
      <c r="L247" s="26"/>
      <c r="M247" s="26"/>
      <c r="N247" s="26"/>
      <c r="O247" s="72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F247" s="28"/>
      <c r="AH247" s="65"/>
      <c r="AI247" s="28"/>
      <c r="AJ247" s="32"/>
    </row>
    <row r="248" spans="1:36" s="27" customFormat="1" ht="12.75" customHeight="1">
      <c r="A248" s="22"/>
      <c r="B248" s="22"/>
      <c r="C248" s="8"/>
      <c r="D248" s="34"/>
      <c r="E248" s="34"/>
      <c r="F248" s="15"/>
      <c r="G248" s="23"/>
      <c r="H248" s="24"/>
      <c r="I248" s="24"/>
      <c r="J248" s="24"/>
      <c r="K248" s="25"/>
      <c r="L248" s="26"/>
      <c r="M248" s="26"/>
      <c r="N248" s="26"/>
      <c r="O248" s="72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F248" s="28"/>
      <c r="AH248" s="65"/>
      <c r="AI248" s="28"/>
      <c r="AJ248" s="32"/>
    </row>
    <row r="249" spans="1:36" s="27" customFormat="1" ht="12.75" customHeight="1">
      <c r="A249" s="22"/>
      <c r="B249" s="22"/>
      <c r="C249" s="8"/>
      <c r="D249" s="34"/>
      <c r="E249" s="34"/>
      <c r="F249" s="15"/>
      <c r="G249" s="23"/>
      <c r="H249" s="24"/>
      <c r="I249" s="24"/>
      <c r="J249" s="24"/>
      <c r="K249" s="25"/>
      <c r="L249" s="26"/>
      <c r="M249" s="26"/>
      <c r="N249" s="26"/>
      <c r="O249" s="72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F249" s="28"/>
      <c r="AH249" s="65"/>
      <c r="AI249" s="28"/>
      <c r="AJ249" s="32"/>
    </row>
    <row r="250" spans="1:36" s="27" customFormat="1" ht="12.75" customHeight="1">
      <c r="A250" s="22"/>
      <c r="B250" s="22"/>
      <c r="C250" s="8"/>
      <c r="D250" s="34"/>
      <c r="E250" s="34"/>
      <c r="F250" s="15"/>
      <c r="G250" s="23"/>
      <c r="H250" s="24"/>
      <c r="I250" s="24"/>
      <c r="J250" s="24"/>
      <c r="K250" s="25"/>
      <c r="L250" s="26"/>
      <c r="M250" s="26"/>
      <c r="N250" s="26"/>
      <c r="O250" s="72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F250" s="28"/>
      <c r="AH250" s="65"/>
      <c r="AI250" s="28"/>
      <c r="AJ250" s="32"/>
    </row>
    <row r="251" spans="1:36" s="27" customFormat="1" ht="12.75" customHeight="1">
      <c r="A251" s="22"/>
      <c r="B251" s="22"/>
      <c r="C251" s="8"/>
      <c r="D251" s="34"/>
      <c r="E251" s="34"/>
      <c r="F251" s="15"/>
      <c r="G251" s="23"/>
      <c r="H251" s="24"/>
      <c r="I251" s="24"/>
      <c r="J251" s="24"/>
      <c r="K251" s="25"/>
      <c r="L251" s="26"/>
      <c r="M251" s="26"/>
      <c r="N251" s="26"/>
      <c r="O251" s="72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F251" s="28"/>
      <c r="AH251" s="65"/>
      <c r="AI251" s="28"/>
      <c r="AJ251" s="32"/>
    </row>
    <row r="252" spans="1:36" s="27" customFormat="1" ht="12.75" customHeight="1">
      <c r="A252" s="22"/>
      <c r="B252" s="22"/>
      <c r="C252" s="8"/>
      <c r="D252" s="34"/>
      <c r="E252" s="34"/>
      <c r="F252" s="15"/>
      <c r="G252" s="23"/>
      <c r="H252" s="24"/>
      <c r="I252" s="24"/>
      <c r="J252" s="24"/>
      <c r="K252" s="25"/>
      <c r="L252" s="26"/>
      <c r="M252" s="26"/>
      <c r="N252" s="26"/>
      <c r="O252" s="72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F252" s="28"/>
      <c r="AH252" s="65"/>
      <c r="AI252" s="28"/>
      <c r="AJ252" s="32"/>
    </row>
    <row r="253" spans="1:36" s="27" customFormat="1" ht="12.75" customHeight="1">
      <c r="A253" s="22"/>
      <c r="B253" s="22"/>
      <c r="C253" s="8"/>
      <c r="D253" s="34"/>
      <c r="E253" s="34"/>
      <c r="F253" s="15"/>
      <c r="G253" s="23"/>
      <c r="H253" s="24"/>
      <c r="I253" s="24"/>
      <c r="J253" s="24"/>
      <c r="K253" s="25"/>
      <c r="L253" s="26"/>
      <c r="M253" s="26"/>
      <c r="N253" s="26"/>
      <c r="O253" s="72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F253" s="28"/>
      <c r="AH253" s="65"/>
      <c r="AI253" s="28"/>
      <c r="AJ253" s="32"/>
    </row>
    <row r="254" spans="1:36" s="27" customFormat="1" ht="12.75" customHeight="1">
      <c r="A254" s="22"/>
      <c r="B254" s="22"/>
      <c r="C254" s="8"/>
      <c r="D254" s="34"/>
      <c r="E254" s="34"/>
      <c r="F254" s="15"/>
      <c r="G254" s="23"/>
      <c r="H254" s="24"/>
      <c r="I254" s="24"/>
      <c r="J254" s="24"/>
      <c r="K254" s="25"/>
      <c r="L254" s="26"/>
      <c r="M254" s="26"/>
      <c r="N254" s="26"/>
      <c r="O254" s="72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F254" s="28"/>
      <c r="AH254" s="65"/>
      <c r="AI254" s="28"/>
      <c r="AJ254" s="32"/>
    </row>
    <row r="255" spans="1:36" s="27" customFormat="1" ht="12.75" customHeight="1">
      <c r="A255" s="22"/>
      <c r="B255" s="22"/>
      <c r="C255" s="8"/>
      <c r="D255" s="34"/>
      <c r="E255" s="34"/>
      <c r="F255" s="15"/>
      <c r="G255" s="23"/>
      <c r="H255" s="24"/>
      <c r="I255" s="24"/>
      <c r="J255" s="24"/>
      <c r="K255" s="25"/>
      <c r="L255" s="26"/>
      <c r="M255" s="26"/>
      <c r="N255" s="26"/>
      <c r="O255" s="72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F255" s="28"/>
      <c r="AH255" s="65"/>
      <c r="AI255" s="28"/>
      <c r="AJ255" s="32"/>
    </row>
    <row r="256" spans="1:36" s="27" customFormat="1" ht="12.75" customHeight="1">
      <c r="A256" s="22"/>
      <c r="B256" s="22"/>
      <c r="C256" s="8"/>
      <c r="D256" s="34"/>
      <c r="E256" s="34"/>
      <c r="F256" s="15"/>
      <c r="G256" s="23"/>
      <c r="H256" s="24"/>
      <c r="I256" s="24"/>
      <c r="J256" s="24"/>
      <c r="K256" s="25"/>
      <c r="L256" s="26"/>
      <c r="M256" s="26"/>
      <c r="N256" s="26"/>
      <c r="O256" s="72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F256" s="28"/>
      <c r="AH256" s="65"/>
      <c r="AI256" s="28"/>
      <c r="AJ256" s="32"/>
    </row>
    <row r="257" spans="1:36" s="27" customFormat="1" ht="12.75" customHeight="1">
      <c r="A257" s="22"/>
      <c r="B257" s="22"/>
      <c r="C257" s="8"/>
      <c r="D257" s="34"/>
      <c r="E257" s="34"/>
      <c r="F257" s="15"/>
      <c r="G257" s="23"/>
      <c r="H257" s="24"/>
      <c r="I257" s="24"/>
      <c r="J257" s="24"/>
      <c r="K257" s="25"/>
      <c r="L257" s="26"/>
      <c r="M257" s="26"/>
      <c r="N257" s="26"/>
      <c r="O257" s="72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F257" s="28"/>
      <c r="AH257" s="65"/>
      <c r="AI257" s="28"/>
      <c r="AJ257" s="32"/>
    </row>
    <row r="258" spans="1:36" s="27" customFormat="1" ht="12.75" customHeight="1">
      <c r="A258" s="22"/>
      <c r="B258" s="22"/>
      <c r="C258" s="8"/>
      <c r="D258" s="34"/>
      <c r="E258" s="34"/>
      <c r="F258" s="15"/>
      <c r="G258" s="23"/>
      <c r="H258" s="24"/>
      <c r="I258" s="24"/>
      <c r="J258" s="24"/>
      <c r="K258" s="25"/>
      <c r="L258" s="26"/>
      <c r="M258" s="26"/>
      <c r="N258" s="26"/>
      <c r="O258" s="72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F258" s="28"/>
      <c r="AH258" s="65"/>
      <c r="AI258" s="28"/>
      <c r="AJ258" s="32"/>
    </row>
    <row r="259" spans="1:36" s="27" customFormat="1" ht="12.75" customHeight="1">
      <c r="A259" s="22"/>
      <c r="B259" s="22"/>
      <c r="C259" s="8"/>
      <c r="D259" s="34"/>
      <c r="E259" s="34"/>
      <c r="F259" s="15"/>
      <c r="G259" s="23"/>
      <c r="H259" s="24"/>
      <c r="I259" s="24"/>
      <c r="J259" s="24"/>
      <c r="K259" s="25"/>
      <c r="L259" s="26"/>
      <c r="M259" s="26"/>
      <c r="N259" s="26"/>
      <c r="O259" s="72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F259" s="28"/>
      <c r="AH259" s="65"/>
      <c r="AI259" s="28"/>
      <c r="AJ259" s="32"/>
    </row>
    <row r="260" spans="1:36" s="27" customFormat="1" ht="12.75" customHeight="1">
      <c r="A260" s="22"/>
      <c r="B260" s="22"/>
      <c r="C260" s="8"/>
      <c r="D260" s="34"/>
      <c r="E260" s="34"/>
      <c r="F260" s="15"/>
      <c r="G260" s="23"/>
      <c r="H260" s="24"/>
      <c r="I260" s="24"/>
      <c r="J260" s="24"/>
      <c r="K260" s="25"/>
      <c r="L260" s="26"/>
      <c r="M260" s="26"/>
      <c r="N260" s="26"/>
      <c r="O260" s="72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F260" s="28"/>
      <c r="AH260" s="65"/>
      <c r="AI260" s="28"/>
      <c r="AJ260" s="32"/>
    </row>
    <row r="261" spans="1:36" s="27" customFormat="1" ht="12.75" customHeight="1">
      <c r="A261" s="22"/>
      <c r="B261" s="22"/>
      <c r="C261" s="8"/>
      <c r="D261" s="34"/>
      <c r="E261" s="34"/>
      <c r="F261" s="15"/>
      <c r="G261" s="23"/>
      <c r="H261" s="24"/>
      <c r="I261" s="24"/>
      <c r="J261" s="24"/>
      <c r="K261" s="25"/>
      <c r="L261" s="26"/>
      <c r="M261" s="26"/>
      <c r="N261" s="26"/>
      <c r="O261" s="72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F261" s="28"/>
      <c r="AH261" s="65"/>
      <c r="AI261" s="28"/>
      <c r="AJ261" s="32"/>
    </row>
    <row r="262" spans="1:36" s="27" customFormat="1" ht="12.75" customHeight="1">
      <c r="A262" s="22"/>
      <c r="B262" s="22"/>
      <c r="C262" s="8"/>
      <c r="D262" s="34"/>
      <c r="E262" s="34"/>
      <c r="F262" s="15"/>
      <c r="G262" s="23"/>
      <c r="H262" s="24"/>
      <c r="I262" s="24"/>
      <c r="J262" s="24"/>
      <c r="K262" s="25"/>
      <c r="L262" s="26"/>
      <c r="M262" s="26"/>
      <c r="N262" s="26"/>
      <c r="O262" s="72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F262" s="28"/>
      <c r="AH262" s="65"/>
      <c r="AI262" s="28"/>
      <c r="AJ262" s="32"/>
    </row>
    <row r="263" spans="1:36" s="27" customFormat="1" ht="12.75" customHeight="1">
      <c r="A263" s="22"/>
      <c r="B263" s="22"/>
      <c r="C263" s="8"/>
      <c r="D263" s="34"/>
      <c r="E263" s="34"/>
      <c r="F263" s="15"/>
      <c r="G263" s="23"/>
      <c r="H263" s="24"/>
      <c r="I263" s="24"/>
      <c r="J263" s="24"/>
      <c r="K263" s="25"/>
      <c r="L263" s="26"/>
      <c r="M263" s="26"/>
      <c r="N263" s="26"/>
      <c r="O263" s="72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F263" s="28"/>
      <c r="AH263" s="65"/>
      <c r="AI263" s="28"/>
      <c r="AJ263" s="32"/>
    </row>
    <row r="264" spans="1:36" s="27" customFormat="1" ht="12.75" customHeight="1">
      <c r="A264" s="22"/>
      <c r="B264" s="22"/>
      <c r="C264" s="8"/>
      <c r="D264" s="34"/>
      <c r="E264" s="34"/>
      <c r="F264" s="15"/>
      <c r="G264" s="23"/>
      <c r="H264" s="24"/>
      <c r="I264" s="24"/>
      <c r="J264" s="24"/>
      <c r="K264" s="25"/>
      <c r="L264" s="26"/>
      <c r="M264" s="26"/>
      <c r="N264" s="26"/>
      <c r="O264" s="72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F264" s="28"/>
      <c r="AH264" s="65"/>
      <c r="AI264" s="28"/>
      <c r="AJ264" s="32"/>
    </row>
    <row r="265" spans="1:36" s="27" customFormat="1" ht="12.75" customHeight="1">
      <c r="A265" s="22"/>
      <c r="B265" s="22"/>
      <c r="C265" s="8"/>
      <c r="D265" s="34"/>
      <c r="E265" s="34"/>
      <c r="F265" s="15"/>
      <c r="G265" s="23"/>
      <c r="H265" s="24"/>
      <c r="I265" s="24"/>
      <c r="J265" s="24"/>
      <c r="K265" s="25"/>
      <c r="L265" s="26"/>
      <c r="M265" s="26"/>
      <c r="N265" s="26"/>
      <c r="O265" s="72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F265" s="28"/>
      <c r="AH265" s="65"/>
      <c r="AI265" s="28"/>
      <c r="AJ265" s="32"/>
    </row>
    <row r="266" spans="1:36" s="27" customFormat="1" ht="12.75" customHeight="1">
      <c r="A266" s="22"/>
      <c r="B266" s="22"/>
      <c r="C266" s="8"/>
      <c r="D266" s="34"/>
      <c r="E266" s="34"/>
      <c r="F266" s="15"/>
      <c r="G266" s="23"/>
      <c r="H266" s="24"/>
      <c r="I266" s="24"/>
      <c r="J266" s="24"/>
      <c r="K266" s="25"/>
      <c r="L266" s="26"/>
      <c r="M266" s="26"/>
      <c r="N266" s="26"/>
      <c r="O266" s="72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F266" s="28"/>
      <c r="AH266" s="65"/>
      <c r="AI266" s="28"/>
      <c r="AJ266" s="32"/>
    </row>
    <row r="267" spans="1:36" s="27" customFormat="1" ht="12.75" customHeight="1">
      <c r="A267" s="22"/>
      <c r="B267" s="22"/>
      <c r="C267" s="8"/>
      <c r="D267" s="34"/>
      <c r="E267" s="34"/>
      <c r="F267" s="15"/>
      <c r="G267" s="23"/>
      <c r="H267" s="24"/>
      <c r="I267" s="24"/>
      <c r="J267" s="24"/>
      <c r="K267" s="25"/>
      <c r="L267" s="26"/>
      <c r="M267" s="26"/>
      <c r="N267" s="26"/>
      <c r="O267" s="72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F267" s="28"/>
      <c r="AH267" s="65"/>
      <c r="AI267" s="28"/>
      <c r="AJ267" s="32"/>
    </row>
    <row r="268" spans="1:36" s="27" customFormat="1" ht="12.75" customHeight="1">
      <c r="A268" s="22"/>
      <c r="B268" s="22"/>
      <c r="C268" s="8"/>
      <c r="D268" s="34"/>
      <c r="E268" s="34"/>
      <c r="F268" s="15"/>
      <c r="G268" s="23"/>
      <c r="H268" s="24"/>
      <c r="I268" s="24"/>
      <c r="J268" s="24"/>
      <c r="K268" s="25"/>
      <c r="L268" s="26"/>
      <c r="M268" s="26"/>
      <c r="N268" s="26"/>
      <c r="O268" s="72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F268" s="28"/>
      <c r="AH268" s="65"/>
      <c r="AI268" s="28"/>
      <c r="AJ268" s="32"/>
    </row>
    <row r="269" spans="1:36" s="27" customFormat="1" ht="12.75" customHeight="1">
      <c r="A269" s="22"/>
      <c r="B269" s="22"/>
      <c r="C269" s="8"/>
      <c r="D269" s="34"/>
      <c r="E269" s="34"/>
      <c r="F269" s="15"/>
      <c r="G269" s="23"/>
      <c r="H269" s="24"/>
      <c r="I269" s="24"/>
      <c r="J269" s="24"/>
      <c r="K269" s="25"/>
      <c r="L269" s="26"/>
      <c r="M269" s="26"/>
      <c r="N269" s="26"/>
      <c r="O269" s="72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F269" s="28"/>
      <c r="AH269" s="65"/>
      <c r="AI269" s="28"/>
      <c r="AJ269" s="32"/>
    </row>
    <row r="270" spans="1:36" s="27" customFormat="1" ht="12.75" customHeight="1">
      <c r="A270" s="22"/>
      <c r="B270" s="22"/>
      <c r="C270" s="8"/>
      <c r="D270" s="34"/>
      <c r="E270" s="34"/>
      <c r="F270" s="15"/>
      <c r="G270" s="23"/>
      <c r="H270" s="24"/>
      <c r="I270" s="24"/>
      <c r="J270" s="24"/>
      <c r="K270" s="25"/>
      <c r="L270" s="26"/>
      <c r="M270" s="26"/>
      <c r="N270" s="26"/>
      <c r="O270" s="72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F270" s="28"/>
      <c r="AH270" s="65"/>
      <c r="AI270" s="28"/>
      <c r="AJ270" s="32"/>
    </row>
    <row r="271" spans="1:36" s="27" customFormat="1" ht="12.75" customHeight="1">
      <c r="A271" s="22"/>
      <c r="B271" s="22"/>
      <c r="C271" s="8"/>
      <c r="D271" s="34"/>
      <c r="E271" s="34"/>
      <c r="F271" s="15"/>
      <c r="G271" s="23"/>
      <c r="H271" s="24"/>
      <c r="I271" s="24"/>
      <c r="J271" s="24"/>
      <c r="K271" s="25"/>
      <c r="L271" s="26"/>
      <c r="M271" s="26"/>
      <c r="N271" s="26"/>
      <c r="O271" s="72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F271" s="28"/>
      <c r="AH271" s="65"/>
      <c r="AI271" s="28"/>
      <c r="AJ271" s="32"/>
    </row>
    <row r="272" spans="1:36" s="27" customFormat="1" ht="12.75" customHeight="1">
      <c r="A272" s="22"/>
      <c r="B272" s="22"/>
      <c r="C272" s="8"/>
      <c r="D272" s="34"/>
      <c r="E272" s="34"/>
      <c r="F272" s="15"/>
      <c r="G272" s="23"/>
      <c r="H272" s="24"/>
      <c r="I272" s="24"/>
      <c r="J272" s="24"/>
      <c r="K272" s="25"/>
      <c r="L272" s="26"/>
      <c r="M272" s="26"/>
      <c r="N272" s="26"/>
      <c r="O272" s="72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F272" s="28"/>
      <c r="AH272" s="65"/>
      <c r="AI272" s="28"/>
      <c r="AJ272" s="32"/>
    </row>
    <row r="273" spans="1:36" s="27" customFormat="1" ht="12.75" customHeight="1">
      <c r="A273" s="22"/>
      <c r="B273" s="22"/>
      <c r="C273" s="8"/>
      <c r="D273" s="34"/>
      <c r="E273" s="34"/>
      <c r="F273" s="15"/>
      <c r="G273" s="23"/>
      <c r="H273" s="24"/>
      <c r="I273" s="24"/>
      <c r="J273" s="24"/>
      <c r="K273" s="25"/>
      <c r="L273" s="26"/>
      <c r="M273" s="26"/>
      <c r="N273" s="26"/>
      <c r="O273" s="72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F273" s="28"/>
      <c r="AH273" s="65"/>
      <c r="AI273" s="28"/>
      <c r="AJ273" s="32"/>
    </row>
    <row r="274" spans="1:36" s="27" customFormat="1" ht="12.75" customHeight="1">
      <c r="A274" s="22"/>
      <c r="B274" s="22"/>
      <c r="C274" s="8"/>
      <c r="D274" s="34"/>
      <c r="E274" s="34"/>
      <c r="F274" s="15"/>
      <c r="G274" s="23"/>
      <c r="H274" s="24"/>
      <c r="I274" s="24"/>
      <c r="J274" s="24"/>
      <c r="K274" s="25"/>
      <c r="L274" s="26"/>
      <c r="M274" s="26"/>
      <c r="N274" s="26"/>
      <c r="O274" s="72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F274" s="28"/>
      <c r="AH274" s="65"/>
      <c r="AI274" s="28"/>
      <c r="AJ274" s="32"/>
    </row>
    <row r="275" spans="1:36" s="27" customFormat="1" ht="12.75" customHeight="1">
      <c r="A275" s="22"/>
      <c r="B275" s="22"/>
      <c r="C275" s="8"/>
      <c r="D275" s="34"/>
      <c r="E275" s="34"/>
      <c r="F275" s="15"/>
      <c r="G275" s="23"/>
      <c r="H275" s="24"/>
      <c r="I275" s="24"/>
      <c r="J275" s="24"/>
      <c r="K275" s="25"/>
      <c r="L275" s="26"/>
      <c r="M275" s="26"/>
      <c r="N275" s="26"/>
      <c r="O275" s="72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F275" s="28"/>
      <c r="AH275" s="65"/>
      <c r="AI275" s="28"/>
      <c r="AJ275" s="32"/>
    </row>
    <row r="276" spans="1:36" s="27" customFormat="1" ht="12.75" customHeight="1">
      <c r="A276" s="22"/>
      <c r="B276" s="22"/>
      <c r="C276" s="8"/>
      <c r="D276" s="34"/>
      <c r="E276" s="34"/>
      <c r="F276" s="15"/>
      <c r="G276" s="23"/>
      <c r="H276" s="24"/>
      <c r="I276" s="24"/>
      <c r="J276" s="24"/>
      <c r="K276" s="25"/>
      <c r="L276" s="26"/>
      <c r="M276" s="26"/>
      <c r="N276" s="26"/>
      <c r="O276" s="72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F276" s="28"/>
      <c r="AH276" s="65"/>
      <c r="AI276" s="28"/>
      <c r="AJ276" s="32"/>
    </row>
    <row r="277" spans="1:36" s="27" customFormat="1" ht="12.75" customHeight="1">
      <c r="A277" s="22"/>
      <c r="B277" s="22"/>
      <c r="C277" s="8"/>
      <c r="D277" s="34"/>
      <c r="E277" s="34"/>
      <c r="F277" s="15"/>
      <c r="G277" s="23"/>
      <c r="H277" s="24"/>
      <c r="I277" s="24"/>
      <c r="J277" s="24"/>
      <c r="K277" s="25"/>
      <c r="L277" s="26"/>
      <c r="M277" s="26"/>
      <c r="N277" s="26"/>
      <c r="O277" s="72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F277" s="28"/>
      <c r="AH277" s="65"/>
      <c r="AI277" s="28"/>
      <c r="AJ277" s="32"/>
    </row>
    <row r="278" spans="1:36" s="27" customFormat="1" ht="12.75" customHeight="1">
      <c r="A278" s="22"/>
      <c r="B278" s="22"/>
      <c r="C278" s="8"/>
      <c r="D278" s="34"/>
      <c r="E278" s="34"/>
      <c r="F278" s="15"/>
      <c r="G278" s="23"/>
      <c r="H278" s="24"/>
      <c r="I278" s="24"/>
      <c r="J278" s="24"/>
      <c r="K278" s="25"/>
      <c r="L278" s="26"/>
      <c r="M278" s="26"/>
      <c r="N278" s="26"/>
      <c r="O278" s="72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F278" s="28"/>
      <c r="AH278" s="65"/>
      <c r="AI278" s="28"/>
      <c r="AJ278" s="32"/>
    </row>
    <row r="279" spans="1:36" s="27" customFormat="1" ht="12.75" customHeight="1">
      <c r="A279" s="22"/>
      <c r="B279" s="22"/>
      <c r="C279" s="8"/>
      <c r="D279" s="34"/>
      <c r="E279" s="34"/>
      <c r="F279" s="15"/>
      <c r="G279" s="23"/>
      <c r="H279" s="24"/>
      <c r="I279" s="24"/>
      <c r="J279" s="24"/>
      <c r="K279" s="25"/>
      <c r="L279" s="26"/>
      <c r="M279" s="26"/>
      <c r="N279" s="26"/>
      <c r="O279" s="72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F279" s="28"/>
      <c r="AH279" s="65"/>
      <c r="AI279" s="28"/>
      <c r="AJ279" s="32"/>
    </row>
    <row r="280" spans="1:36" s="27" customFormat="1" ht="12.75" customHeight="1">
      <c r="A280" s="22"/>
      <c r="B280" s="22"/>
      <c r="C280" s="8"/>
      <c r="D280" s="34"/>
      <c r="E280" s="34"/>
      <c r="F280" s="15"/>
      <c r="G280" s="23"/>
      <c r="H280" s="24"/>
      <c r="I280" s="24"/>
      <c r="J280" s="24"/>
      <c r="K280" s="25"/>
      <c r="L280" s="26"/>
      <c r="M280" s="26"/>
      <c r="N280" s="26"/>
      <c r="O280" s="72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F280" s="28"/>
      <c r="AH280" s="65"/>
      <c r="AI280" s="28"/>
      <c r="AJ280" s="32"/>
    </row>
    <row r="281" spans="1:36" s="27" customFormat="1" ht="12.75" customHeight="1">
      <c r="A281" s="22"/>
      <c r="B281" s="22"/>
      <c r="C281" s="8"/>
      <c r="D281" s="34"/>
      <c r="E281" s="34"/>
      <c r="F281" s="15"/>
      <c r="G281" s="23"/>
      <c r="H281" s="24"/>
      <c r="I281" s="24"/>
      <c r="J281" s="24"/>
      <c r="K281" s="25"/>
      <c r="L281" s="26"/>
      <c r="M281" s="26"/>
      <c r="N281" s="26"/>
      <c r="O281" s="72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F281" s="28"/>
      <c r="AH281" s="65"/>
      <c r="AI281" s="28"/>
      <c r="AJ281" s="32"/>
    </row>
    <row r="282" spans="1:36" s="27" customFormat="1" ht="12.75" customHeight="1">
      <c r="A282" s="22"/>
      <c r="B282" s="22"/>
      <c r="C282" s="8"/>
      <c r="D282" s="34"/>
      <c r="E282" s="34"/>
      <c r="F282" s="15"/>
      <c r="G282" s="23"/>
      <c r="H282" s="24"/>
      <c r="I282" s="24"/>
      <c r="J282" s="24"/>
      <c r="K282" s="25"/>
      <c r="L282" s="26"/>
      <c r="M282" s="26"/>
      <c r="N282" s="26"/>
      <c r="O282" s="72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F282" s="28"/>
      <c r="AH282" s="65"/>
      <c r="AI282" s="28"/>
      <c r="AJ282" s="32"/>
    </row>
    <row r="283" spans="1:36" s="27" customFormat="1" ht="12.75" customHeight="1">
      <c r="A283" s="22"/>
      <c r="B283" s="22"/>
      <c r="C283" s="8"/>
      <c r="D283" s="34"/>
      <c r="E283" s="34"/>
      <c r="F283" s="15"/>
      <c r="G283" s="23"/>
      <c r="H283" s="24"/>
      <c r="I283" s="24"/>
      <c r="J283" s="24"/>
      <c r="K283" s="25"/>
      <c r="L283" s="26"/>
      <c r="M283" s="26"/>
      <c r="N283" s="26"/>
      <c r="O283" s="72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F283" s="28"/>
      <c r="AH283" s="65"/>
      <c r="AI283" s="28"/>
      <c r="AJ283" s="32"/>
    </row>
    <row r="284" spans="1:36" s="27" customFormat="1" ht="12.75" customHeight="1">
      <c r="A284" s="22"/>
      <c r="B284" s="22"/>
      <c r="C284" s="8"/>
      <c r="D284" s="34"/>
      <c r="E284" s="34"/>
      <c r="F284" s="15"/>
      <c r="G284" s="23"/>
      <c r="H284" s="24"/>
      <c r="I284" s="24"/>
      <c r="J284" s="24"/>
      <c r="K284" s="25"/>
      <c r="L284" s="26"/>
      <c r="M284" s="26"/>
      <c r="N284" s="26"/>
      <c r="O284" s="72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F284" s="28"/>
      <c r="AH284" s="65"/>
      <c r="AI284" s="28"/>
      <c r="AJ284" s="32"/>
    </row>
    <row r="285" spans="1:36" s="27" customFormat="1" ht="12.75" customHeight="1">
      <c r="A285" s="22"/>
      <c r="B285" s="22"/>
      <c r="C285" s="8"/>
      <c r="D285" s="34"/>
      <c r="E285" s="34"/>
      <c r="F285" s="15"/>
      <c r="G285" s="23"/>
      <c r="H285" s="24"/>
      <c r="I285" s="24"/>
      <c r="J285" s="24"/>
      <c r="K285" s="25"/>
      <c r="L285" s="26"/>
      <c r="M285" s="26"/>
      <c r="N285" s="26"/>
      <c r="O285" s="72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F285" s="28"/>
      <c r="AH285" s="65"/>
      <c r="AI285" s="28"/>
      <c r="AJ285" s="32"/>
    </row>
    <row r="286" spans="1:36" s="27" customFormat="1" ht="12.75" customHeight="1">
      <c r="A286" s="22"/>
      <c r="B286" s="22"/>
      <c r="C286" s="8"/>
      <c r="D286" s="34"/>
      <c r="E286" s="34"/>
      <c r="F286" s="15"/>
      <c r="G286" s="23"/>
      <c r="H286" s="24"/>
      <c r="I286" s="24"/>
      <c r="J286" s="24"/>
      <c r="K286" s="25"/>
      <c r="L286" s="26"/>
      <c r="M286" s="26"/>
      <c r="N286" s="26"/>
      <c r="O286" s="72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F286" s="28"/>
      <c r="AH286" s="65"/>
      <c r="AI286" s="28"/>
      <c r="AJ286" s="32"/>
    </row>
    <row r="287" spans="1:36" s="27" customFormat="1" ht="12.75" customHeight="1">
      <c r="A287" s="22"/>
      <c r="B287" s="22"/>
      <c r="C287" s="8"/>
      <c r="D287" s="34"/>
      <c r="E287" s="34"/>
      <c r="F287" s="15"/>
      <c r="G287" s="23"/>
      <c r="H287" s="24"/>
      <c r="I287" s="24"/>
      <c r="J287" s="24"/>
      <c r="K287" s="25"/>
      <c r="L287" s="26"/>
      <c r="M287" s="26"/>
      <c r="N287" s="26"/>
      <c r="O287" s="72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F287" s="28"/>
      <c r="AH287" s="65"/>
      <c r="AI287" s="28"/>
      <c r="AJ287" s="32"/>
    </row>
    <row r="288" spans="1:36" s="27" customFormat="1" ht="12.75" customHeight="1">
      <c r="A288" s="22"/>
      <c r="B288" s="22"/>
      <c r="C288" s="8"/>
      <c r="D288" s="34"/>
      <c r="E288" s="34"/>
      <c r="F288" s="15"/>
      <c r="G288" s="23"/>
      <c r="H288" s="24"/>
      <c r="I288" s="24"/>
      <c r="J288" s="24"/>
      <c r="K288" s="25"/>
      <c r="L288" s="26"/>
      <c r="M288" s="26"/>
      <c r="N288" s="26"/>
      <c r="O288" s="72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F288" s="28"/>
      <c r="AH288" s="65"/>
      <c r="AI288" s="28"/>
      <c r="AJ288" s="32"/>
    </row>
    <row r="289" spans="1:36" s="27" customFormat="1" ht="12.75" customHeight="1">
      <c r="A289" s="22"/>
      <c r="B289" s="22"/>
      <c r="C289" s="8"/>
      <c r="D289" s="34"/>
      <c r="E289" s="34"/>
      <c r="F289" s="15"/>
      <c r="G289" s="23"/>
      <c r="H289" s="24"/>
      <c r="I289" s="24"/>
      <c r="J289" s="24"/>
      <c r="K289" s="25"/>
      <c r="L289" s="26"/>
      <c r="M289" s="26"/>
      <c r="N289" s="26"/>
      <c r="O289" s="72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F289" s="28"/>
      <c r="AH289" s="65"/>
      <c r="AI289" s="28"/>
      <c r="AJ289" s="32"/>
    </row>
    <row r="290" spans="1:36" s="27" customFormat="1" ht="12.75" customHeight="1">
      <c r="A290" s="22"/>
      <c r="B290" s="22"/>
      <c r="C290" s="8"/>
      <c r="D290" s="34"/>
      <c r="E290" s="34"/>
      <c r="F290" s="15"/>
      <c r="G290" s="23"/>
      <c r="H290" s="24"/>
      <c r="I290" s="24"/>
      <c r="J290" s="24"/>
      <c r="K290" s="25"/>
      <c r="L290" s="26"/>
      <c r="M290" s="26"/>
      <c r="N290" s="26"/>
      <c r="O290" s="72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F290" s="28"/>
      <c r="AH290" s="65"/>
      <c r="AI290" s="28"/>
      <c r="AJ290" s="32"/>
    </row>
    <row r="291" spans="1:36" s="27" customFormat="1" ht="12.75" customHeight="1">
      <c r="A291" s="22"/>
      <c r="B291" s="22"/>
      <c r="C291" s="8"/>
      <c r="D291" s="34"/>
      <c r="E291" s="34"/>
      <c r="F291" s="15"/>
      <c r="G291" s="23"/>
      <c r="H291" s="24"/>
      <c r="I291" s="24"/>
      <c r="J291" s="24"/>
      <c r="K291" s="25"/>
      <c r="L291" s="26"/>
      <c r="M291" s="26"/>
      <c r="N291" s="26"/>
      <c r="O291" s="72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F291" s="28"/>
      <c r="AH291" s="65"/>
      <c r="AI291" s="28"/>
      <c r="AJ291" s="32"/>
    </row>
    <row r="292" spans="1:36" s="27" customFormat="1" ht="12.75" customHeight="1">
      <c r="A292" s="22"/>
      <c r="B292" s="22"/>
      <c r="C292" s="8"/>
      <c r="D292" s="34"/>
      <c r="E292" s="34"/>
      <c r="F292" s="15"/>
      <c r="G292" s="23"/>
      <c r="H292" s="24"/>
      <c r="I292" s="24"/>
      <c r="J292" s="24"/>
      <c r="K292" s="25"/>
      <c r="L292" s="26"/>
      <c r="M292" s="26"/>
      <c r="N292" s="26"/>
      <c r="O292" s="72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F292" s="28"/>
      <c r="AH292" s="65"/>
      <c r="AI292" s="28"/>
      <c r="AJ292" s="32"/>
    </row>
    <row r="293" spans="1:36" s="27" customFormat="1" ht="12.75" customHeight="1">
      <c r="A293" s="22"/>
      <c r="B293" s="22"/>
      <c r="C293" s="8"/>
      <c r="D293" s="34"/>
      <c r="E293" s="34"/>
      <c r="F293" s="15"/>
      <c r="G293" s="23"/>
      <c r="H293" s="24"/>
      <c r="I293" s="24"/>
      <c r="J293" s="24"/>
      <c r="K293" s="25"/>
      <c r="L293" s="26"/>
      <c r="M293" s="26"/>
      <c r="N293" s="26"/>
      <c r="O293" s="72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F293" s="28"/>
      <c r="AH293" s="65"/>
      <c r="AI293" s="28"/>
      <c r="AJ293" s="32"/>
    </row>
    <row r="294" spans="1:36" s="27" customFormat="1" ht="12.75" customHeight="1">
      <c r="A294" s="22"/>
      <c r="B294" s="22"/>
      <c r="C294" s="8"/>
      <c r="D294" s="34"/>
      <c r="E294" s="34"/>
      <c r="F294" s="15"/>
      <c r="G294" s="23"/>
      <c r="H294" s="24"/>
      <c r="I294" s="24"/>
      <c r="J294" s="24"/>
      <c r="K294" s="25"/>
      <c r="L294" s="26"/>
      <c r="M294" s="26"/>
      <c r="N294" s="26"/>
      <c r="O294" s="72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F294" s="28"/>
      <c r="AH294" s="65"/>
      <c r="AI294" s="28"/>
      <c r="AJ294" s="32"/>
    </row>
    <row r="295" spans="1:36" s="27" customFormat="1" ht="12.75" customHeight="1">
      <c r="A295" s="22"/>
      <c r="B295" s="22"/>
      <c r="C295" s="8"/>
      <c r="D295" s="34"/>
      <c r="E295" s="34"/>
      <c r="F295" s="15"/>
      <c r="G295" s="23"/>
      <c r="H295" s="24"/>
      <c r="I295" s="24"/>
      <c r="J295" s="24"/>
      <c r="K295" s="25"/>
      <c r="L295" s="26"/>
      <c r="M295" s="26"/>
      <c r="N295" s="26"/>
      <c r="O295" s="72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F295" s="28"/>
      <c r="AH295" s="65"/>
      <c r="AI295" s="28"/>
      <c r="AJ295" s="32"/>
    </row>
    <row r="296" spans="1:36" s="27" customFormat="1" ht="12.75" customHeight="1">
      <c r="A296" s="22"/>
      <c r="B296" s="22"/>
      <c r="C296" s="8"/>
      <c r="D296" s="34"/>
      <c r="E296" s="34"/>
      <c r="F296" s="15"/>
      <c r="G296" s="23"/>
      <c r="H296" s="24"/>
      <c r="I296" s="24"/>
      <c r="J296" s="24"/>
      <c r="K296" s="25"/>
      <c r="L296" s="26"/>
      <c r="M296" s="26"/>
      <c r="N296" s="26"/>
      <c r="O296" s="72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F296" s="28"/>
      <c r="AH296" s="65"/>
      <c r="AI296" s="28"/>
      <c r="AJ296" s="32"/>
    </row>
    <row r="297" spans="1:36" s="27" customFormat="1" ht="12.75" customHeight="1">
      <c r="A297" s="22"/>
      <c r="B297" s="22"/>
      <c r="C297" s="8"/>
      <c r="D297" s="34"/>
      <c r="E297" s="34"/>
      <c r="F297" s="15"/>
      <c r="G297" s="23"/>
      <c r="H297" s="24"/>
      <c r="I297" s="24"/>
      <c r="J297" s="24"/>
      <c r="K297" s="25"/>
      <c r="L297" s="26"/>
      <c r="M297" s="26"/>
      <c r="N297" s="26"/>
      <c r="O297" s="72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F297" s="28"/>
      <c r="AH297" s="65"/>
      <c r="AI297" s="28"/>
      <c r="AJ297" s="32"/>
    </row>
    <row r="298" spans="1:36" s="27" customFormat="1" ht="12.75" customHeight="1">
      <c r="A298" s="22"/>
      <c r="B298" s="22"/>
      <c r="C298" s="8"/>
      <c r="D298" s="34"/>
      <c r="E298" s="34"/>
      <c r="F298" s="15"/>
      <c r="G298" s="23"/>
      <c r="H298" s="24"/>
      <c r="I298" s="24"/>
      <c r="J298" s="24"/>
      <c r="K298" s="25"/>
      <c r="L298" s="26"/>
      <c r="M298" s="26"/>
      <c r="N298" s="26"/>
      <c r="O298" s="72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F298" s="28"/>
      <c r="AH298" s="65"/>
      <c r="AI298" s="28"/>
      <c r="AJ298" s="32"/>
    </row>
    <row r="299" spans="1:36" s="27" customFormat="1" ht="12.75" customHeight="1">
      <c r="A299" s="22"/>
      <c r="B299" s="22"/>
      <c r="C299" s="8"/>
      <c r="D299" s="34"/>
      <c r="E299" s="34"/>
      <c r="F299" s="15"/>
      <c r="G299" s="23"/>
      <c r="H299" s="24"/>
      <c r="I299" s="24"/>
      <c r="J299" s="24"/>
      <c r="K299" s="25"/>
      <c r="L299" s="26"/>
      <c r="M299" s="26"/>
      <c r="N299" s="26"/>
      <c r="O299" s="72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F299" s="28"/>
      <c r="AH299" s="65"/>
      <c r="AI299" s="28"/>
      <c r="AJ299" s="32"/>
    </row>
    <row r="300" spans="1:36" s="27" customFormat="1" ht="12.75" customHeight="1">
      <c r="A300" s="22"/>
      <c r="B300" s="22"/>
      <c r="C300" s="8"/>
      <c r="D300" s="34"/>
      <c r="E300" s="34"/>
      <c r="F300" s="15"/>
      <c r="G300" s="23"/>
      <c r="H300" s="24"/>
      <c r="I300" s="24"/>
      <c r="J300" s="24"/>
      <c r="K300" s="25"/>
      <c r="L300" s="26"/>
      <c r="M300" s="26"/>
      <c r="N300" s="26"/>
      <c r="O300" s="72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F300" s="28"/>
      <c r="AH300" s="65"/>
      <c r="AI300" s="28"/>
      <c r="AJ300" s="32"/>
    </row>
    <row r="301" spans="1:36" s="27" customFormat="1" ht="12.75" customHeight="1">
      <c r="A301" s="22"/>
      <c r="B301" s="22"/>
      <c r="C301" s="8"/>
      <c r="D301" s="34"/>
      <c r="E301" s="34"/>
      <c r="F301" s="15"/>
      <c r="G301" s="23"/>
      <c r="H301" s="24"/>
      <c r="I301" s="24"/>
      <c r="J301" s="24"/>
      <c r="K301" s="25"/>
      <c r="L301" s="26"/>
      <c r="M301" s="26"/>
      <c r="N301" s="26"/>
      <c r="O301" s="72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F301" s="28"/>
      <c r="AH301" s="65"/>
      <c r="AI301" s="28"/>
      <c r="AJ301" s="32"/>
    </row>
    <row r="302" spans="1:36" s="27" customFormat="1" ht="12.75" customHeight="1">
      <c r="A302" s="22"/>
      <c r="B302" s="22"/>
      <c r="C302" s="8"/>
      <c r="D302" s="34"/>
      <c r="E302" s="34"/>
      <c r="F302" s="15"/>
      <c r="G302" s="23"/>
      <c r="H302" s="24"/>
      <c r="I302" s="24"/>
      <c r="J302" s="24"/>
      <c r="K302" s="25"/>
      <c r="L302" s="26"/>
      <c r="M302" s="26"/>
      <c r="N302" s="26"/>
      <c r="O302" s="72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F302" s="28"/>
      <c r="AH302" s="65"/>
      <c r="AI302" s="28"/>
      <c r="AJ302" s="32"/>
    </row>
    <row r="303" spans="1:36" s="27" customFormat="1" ht="12.75" customHeight="1">
      <c r="A303" s="22"/>
      <c r="B303" s="22"/>
      <c r="C303" s="8"/>
      <c r="D303" s="34"/>
      <c r="E303" s="34"/>
      <c r="F303" s="15"/>
      <c r="G303" s="23"/>
      <c r="H303" s="24"/>
      <c r="I303" s="24"/>
      <c r="J303" s="24"/>
      <c r="K303" s="25"/>
      <c r="L303" s="26"/>
      <c r="M303" s="26"/>
      <c r="N303" s="26"/>
      <c r="O303" s="72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F303" s="28"/>
      <c r="AH303" s="65"/>
      <c r="AI303" s="28"/>
      <c r="AJ303" s="32"/>
    </row>
    <row r="304" spans="1:36" s="27" customFormat="1" ht="12.75" customHeight="1">
      <c r="A304" s="22"/>
      <c r="B304" s="22"/>
      <c r="C304" s="8"/>
      <c r="D304" s="34"/>
      <c r="E304" s="34"/>
      <c r="F304" s="15"/>
      <c r="G304" s="23"/>
      <c r="H304" s="24"/>
      <c r="I304" s="24"/>
      <c r="J304" s="24"/>
      <c r="K304" s="25"/>
      <c r="L304" s="26"/>
      <c r="M304" s="26"/>
      <c r="N304" s="26"/>
      <c r="O304" s="72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F304" s="28"/>
      <c r="AH304" s="65"/>
      <c r="AI304" s="28"/>
      <c r="AJ304" s="32"/>
    </row>
    <row r="305" spans="1:36" s="27" customFormat="1" ht="12.75" customHeight="1">
      <c r="A305" s="22"/>
      <c r="B305" s="22"/>
      <c r="C305" s="8"/>
      <c r="D305" s="34"/>
      <c r="E305" s="34"/>
      <c r="F305" s="15"/>
      <c r="G305" s="23"/>
      <c r="H305" s="24"/>
      <c r="I305" s="24"/>
      <c r="J305" s="24"/>
      <c r="K305" s="25"/>
      <c r="L305" s="26"/>
      <c r="M305" s="26"/>
      <c r="N305" s="26"/>
      <c r="O305" s="72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F305" s="28"/>
      <c r="AH305" s="65"/>
      <c r="AI305" s="28"/>
      <c r="AJ305" s="32"/>
    </row>
    <row r="306" spans="1:36" s="27" customFormat="1" ht="12.75" customHeight="1">
      <c r="A306" s="22"/>
      <c r="B306" s="22"/>
      <c r="C306" s="8"/>
      <c r="D306" s="34"/>
      <c r="E306" s="34"/>
      <c r="F306" s="15"/>
      <c r="G306" s="23"/>
      <c r="H306" s="24"/>
      <c r="I306" s="24"/>
      <c r="J306" s="24"/>
      <c r="K306" s="25"/>
      <c r="L306" s="26"/>
      <c r="M306" s="26"/>
      <c r="N306" s="26"/>
      <c r="O306" s="72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F306" s="28"/>
      <c r="AH306" s="65"/>
      <c r="AI306" s="28"/>
      <c r="AJ306" s="32"/>
    </row>
    <row r="307" spans="1:36" s="27" customFormat="1" ht="12.75" customHeight="1">
      <c r="A307" s="22"/>
      <c r="B307" s="22"/>
      <c r="C307" s="8"/>
      <c r="D307" s="34"/>
      <c r="E307" s="34"/>
      <c r="F307" s="15"/>
      <c r="G307" s="23"/>
      <c r="H307" s="24"/>
      <c r="I307" s="24"/>
      <c r="J307" s="24"/>
      <c r="K307" s="25"/>
      <c r="L307" s="26"/>
      <c r="M307" s="26"/>
      <c r="N307" s="26"/>
      <c r="O307" s="72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F307" s="28"/>
      <c r="AH307" s="65"/>
      <c r="AI307" s="28"/>
      <c r="AJ307" s="32"/>
    </row>
    <row r="308" spans="1:36" s="27" customFormat="1" ht="12.75" customHeight="1">
      <c r="A308" s="22"/>
      <c r="B308" s="22"/>
      <c r="C308" s="8"/>
      <c r="D308" s="34"/>
      <c r="E308" s="34"/>
      <c r="F308" s="15"/>
      <c r="G308" s="23"/>
      <c r="H308" s="24"/>
      <c r="I308" s="24"/>
      <c r="J308" s="24"/>
      <c r="K308" s="25"/>
      <c r="L308" s="26"/>
      <c r="M308" s="26"/>
      <c r="N308" s="26"/>
      <c r="O308" s="72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F308" s="28"/>
      <c r="AH308" s="65"/>
      <c r="AI308" s="28"/>
      <c r="AJ308" s="32"/>
    </row>
  </sheetData>
  <autoFilter ref="A4:ALH24" xr:uid="{B11828DE-6C91-4FFE-A648-64B049A4F03B}"/>
  <mergeCells count="41">
    <mergeCell ref="P2:S2"/>
    <mergeCell ref="P3:P4"/>
    <mergeCell ref="Q3:Q4"/>
    <mergeCell ref="R3:R4"/>
    <mergeCell ref="AI3:AI4"/>
    <mergeCell ref="U2:AC2"/>
    <mergeCell ref="V3:V4"/>
    <mergeCell ref="Y3:Y4"/>
    <mergeCell ref="AA3:AA4"/>
    <mergeCell ref="AB3:AB4"/>
    <mergeCell ref="AE3:AE4"/>
    <mergeCell ref="AJ3:AJ4"/>
    <mergeCell ref="D3:D4"/>
    <mergeCell ref="E3:E4"/>
    <mergeCell ref="F3:F4"/>
    <mergeCell ref="G3:G4"/>
    <mergeCell ref="O3:O4"/>
    <mergeCell ref="T3:T4"/>
    <mergeCell ref="AD3:AD4"/>
    <mergeCell ref="AF3:AF4"/>
    <mergeCell ref="AG3:AG4"/>
    <mergeCell ref="AH3:AH4"/>
    <mergeCell ref="AC3:AC4"/>
    <mergeCell ref="X3:X4"/>
    <mergeCell ref="Z3:Z4"/>
    <mergeCell ref="W3:W4"/>
    <mergeCell ref="U3:U4"/>
    <mergeCell ref="C3:C4"/>
    <mergeCell ref="B3:B4"/>
    <mergeCell ref="A3:A4"/>
    <mergeCell ref="S3:S4"/>
    <mergeCell ref="A25:F25"/>
    <mergeCell ref="K2:N2"/>
    <mergeCell ref="J3:J4"/>
    <mergeCell ref="H2:J2"/>
    <mergeCell ref="H3:H4"/>
    <mergeCell ref="I3:I4"/>
    <mergeCell ref="K3:K4"/>
    <mergeCell ref="L3:L4"/>
    <mergeCell ref="N3:N4"/>
    <mergeCell ref="M3:M4"/>
  </mergeCells>
  <phoneticPr fontId="29" type="noConversion"/>
  <conditionalFormatting sqref="A7:A24 A5">
    <cfRule type="expression" dxfId="19" priority="10">
      <formula>WEEKDAY(#REF!)=1</formula>
    </cfRule>
  </conditionalFormatting>
  <conditionalFormatting sqref="B7:B24 B5">
    <cfRule type="cellIs" dxfId="18" priority="86" operator="equal">
      <formula>"Nghỉ"</formula>
    </cfRule>
  </conditionalFormatting>
  <conditionalFormatting sqref="C9:C11">
    <cfRule type="expression" dxfId="17" priority="118">
      <formula>WEEKDAY(#REF!)=1</formula>
    </cfRule>
  </conditionalFormatting>
  <conditionalFormatting sqref="C8:D8 F8:F16">
    <cfRule type="expression" dxfId="16" priority="92">
      <formula>WEEKDAY(#REF!)=1</formula>
    </cfRule>
  </conditionalFormatting>
  <conditionalFormatting sqref="C13:D13">
    <cfRule type="expression" dxfId="15" priority="94">
      <formula>WEEKDAY(#REF!)=1</formula>
    </cfRule>
  </conditionalFormatting>
  <conditionalFormatting sqref="E7:E14 D14 D15:E15 C16:E16 C17:F18">
    <cfRule type="expression" dxfId="14" priority="164">
      <formula>WEEKDAY(#REF!)=1</formula>
    </cfRule>
  </conditionalFormatting>
  <conditionalFormatting sqref="C12:F12 D19:F24">
    <cfRule type="expression" dxfId="13" priority="87">
      <formula>WEEKDAY(#REF!)=1</formula>
    </cfRule>
  </conditionalFormatting>
  <conditionalFormatting sqref="D17:F17">
    <cfRule type="expression" dxfId="12" priority="18">
      <formula>WEEKDAY(#REF!)=1</formula>
    </cfRule>
  </conditionalFormatting>
  <conditionalFormatting sqref="A6">
    <cfRule type="expression" dxfId="11" priority="3">
      <formula>WEEKDAY(#REF!)=1</formula>
    </cfRule>
  </conditionalFormatting>
  <conditionalFormatting sqref="B6">
    <cfRule type="cellIs" dxfId="10" priority="4" operator="equal">
      <formula>"Nghỉ"</formula>
    </cfRule>
  </conditionalFormatting>
  <printOptions horizontalCentered="1"/>
  <pageMargins left="0" right="0" top="0" bottom="0" header="0" footer="0"/>
  <pageSetup paperSize="8" scale="65" firstPageNumber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AE40-FC62-4FDF-804A-98BE8CCDC34F}">
  <sheetPr>
    <tabColor rgb="FFFF0000"/>
  </sheetPr>
  <dimension ref="A1:ALK299"/>
  <sheetViews>
    <sheetView showGridLines="0" showZeros="0" tabSelected="1" zoomScale="136" zoomScaleNormal="136" zoomScaleSheetLayoutView="100" workbookViewId="0">
      <pane xSplit="3" ySplit="4" topLeftCell="X5" activePane="bottomRight" state="frozen"/>
      <selection pane="topRight" activeCell="D1" sqref="D1"/>
      <selection pane="bottomLeft" activeCell="A5" sqref="A5"/>
      <selection pane="bottomRight" activeCell="AL5" sqref="AL5"/>
    </sheetView>
  </sheetViews>
  <sheetFormatPr defaultColWidth="9.140625" defaultRowHeight="15" outlineLevelCol="1"/>
  <cols>
    <col min="1" max="1" width="6.28515625" style="22" customWidth="1"/>
    <col min="2" max="2" width="6.140625" style="153" bestFit="1" customWidth="1"/>
    <col min="3" max="3" width="22.140625" style="8" customWidth="1"/>
    <col min="4" max="4" width="11" style="34" customWidth="1" outlineLevel="1"/>
    <col min="5" max="5" width="12.140625" style="154" customWidth="1" outlineLevel="1"/>
    <col min="6" max="6" width="12.7109375" style="155" customWidth="1"/>
    <col min="7" max="7" width="6.42578125" style="23" customWidth="1"/>
    <col min="8" max="8" width="10.28515625" style="24" customWidth="1"/>
    <col min="9" max="9" width="9.42578125" style="24" customWidth="1"/>
    <col min="10" max="10" width="6.85546875" style="24" customWidth="1"/>
    <col min="11" max="11" width="6.85546875" style="25" customWidth="1"/>
    <col min="12" max="12" width="7.42578125" style="26" customWidth="1"/>
    <col min="13" max="13" width="7.140625" style="26" customWidth="1"/>
    <col min="14" max="14" width="8.7109375" style="26" customWidth="1"/>
    <col min="15" max="15" width="10.85546875" style="72" customWidth="1"/>
    <col min="16" max="16" width="9.140625" style="24" customWidth="1"/>
    <col min="17" max="17" width="8.85546875" style="24" customWidth="1"/>
    <col min="18" max="18" width="8.42578125" style="24" customWidth="1"/>
    <col min="19" max="19" width="9.140625" style="24" customWidth="1"/>
    <col min="20" max="20" width="13.5703125" style="24" customWidth="1"/>
    <col min="21" max="21" width="12.5703125" style="24" bestFit="1" customWidth="1"/>
    <col min="22" max="22" width="13.140625" style="24" customWidth="1"/>
    <col min="23" max="23" width="9" style="24" customWidth="1"/>
    <col min="24" max="24" width="9.85546875" style="24" customWidth="1"/>
    <col min="25" max="25" width="8.7109375" style="24" customWidth="1"/>
    <col min="26" max="26" width="9.140625" style="24" customWidth="1"/>
    <col min="27" max="27" width="9.5703125" style="24" customWidth="1"/>
    <col min="28" max="28" width="10" style="24" customWidth="1"/>
    <col min="29" max="29" width="7.7109375" style="24" customWidth="1"/>
    <col min="30" max="30" width="9" style="24" customWidth="1"/>
    <col min="31" max="31" width="9.7109375" style="27" customWidth="1"/>
    <col min="32" max="32" width="10.85546875" style="27" customWidth="1"/>
    <col min="33" max="34" width="11.7109375" style="28" customWidth="1"/>
    <col min="35" max="35" width="11.7109375" style="65" customWidth="1"/>
    <col min="36" max="36" width="9.85546875" style="27" customWidth="1"/>
    <col min="37" max="37" width="8.85546875" style="65" customWidth="1"/>
    <col min="38" max="38" width="11.5703125" style="28" customWidth="1"/>
    <col min="39" max="39" width="65.140625" style="32" customWidth="1"/>
    <col min="40" max="40" width="10.85546875" style="31" bestFit="1" customWidth="1"/>
    <col min="41" max="41" width="9.5703125" style="31" bestFit="1" customWidth="1"/>
    <col min="42" max="232" width="9.140625" style="31"/>
    <col min="233" max="233" width="3.7109375" style="31" customWidth="1"/>
    <col min="234" max="234" width="8.140625" style="31" customWidth="1"/>
    <col min="235" max="235" width="18.140625" style="31" customWidth="1"/>
    <col min="236" max="236" width="6.5703125" style="31" customWidth="1"/>
    <col min="237" max="237" width="10.28515625" style="31" customWidth="1"/>
    <col min="238" max="238" width="7.28515625" style="31" customWidth="1"/>
    <col min="239" max="239" width="6" style="31" customWidth="1"/>
    <col min="240" max="240" width="5.7109375" style="31" customWidth="1"/>
    <col min="241" max="246" width="9.7109375" style="31" customWidth="1"/>
    <col min="247" max="247" width="10" style="31" customWidth="1"/>
    <col min="248" max="249" width="13.42578125" style="31" customWidth="1"/>
    <col min="250" max="250" width="10.140625" style="31" customWidth="1"/>
    <col min="251" max="252" width="10" style="31" customWidth="1"/>
    <col min="253" max="253" width="10.7109375" style="31" customWidth="1"/>
    <col min="254" max="254" width="12.5703125" style="31" customWidth="1"/>
    <col min="255" max="255" width="7.5703125" style="31" customWidth="1"/>
    <col min="256" max="256" width="9.5703125" style="31" customWidth="1"/>
    <col min="257" max="257" width="8" style="31" customWidth="1"/>
    <col min="258" max="258" width="8.28515625" style="31" customWidth="1"/>
    <col min="259" max="259" width="12.42578125" style="31" customWidth="1"/>
    <col min="260" max="260" width="10.42578125" style="31" customWidth="1"/>
    <col min="261" max="261" width="13.7109375" style="31" customWidth="1"/>
    <col min="262" max="263" width="9.85546875" style="31" customWidth="1"/>
    <col min="264" max="264" width="16.42578125" style="31" customWidth="1"/>
    <col min="265" max="265" width="9.140625" style="31"/>
    <col min="266" max="266" width="11.28515625" style="31" customWidth="1"/>
    <col min="267" max="269" width="9.140625" style="31"/>
    <col min="270" max="270" width="18" style="31" customWidth="1"/>
    <col min="271" max="488" width="9.140625" style="31"/>
    <col min="489" max="489" width="3.7109375" style="31" customWidth="1"/>
    <col min="490" max="490" width="8.140625" style="31" customWidth="1"/>
    <col min="491" max="491" width="18.140625" style="31" customWidth="1"/>
    <col min="492" max="492" width="6.5703125" style="31" customWidth="1"/>
    <col min="493" max="493" width="10.28515625" style="31" customWidth="1"/>
    <col min="494" max="494" width="7.28515625" style="31" customWidth="1"/>
    <col min="495" max="495" width="6" style="31" customWidth="1"/>
    <col min="496" max="496" width="5.7109375" style="31" customWidth="1"/>
    <col min="497" max="502" width="9.7109375" style="31" customWidth="1"/>
    <col min="503" max="503" width="10" style="31" customWidth="1"/>
    <col min="504" max="505" width="13.42578125" style="31" customWidth="1"/>
    <col min="506" max="506" width="10.140625" style="31" customWidth="1"/>
    <col min="507" max="508" width="10" style="31" customWidth="1"/>
    <col min="509" max="509" width="10.7109375" style="31" customWidth="1"/>
    <col min="510" max="510" width="12.5703125" style="31" customWidth="1"/>
    <col min="511" max="511" width="7.5703125" style="31" customWidth="1"/>
    <col min="512" max="512" width="9.5703125" style="31" customWidth="1"/>
    <col min="513" max="513" width="8" style="31" customWidth="1"/>
    <col min="514" max="514" width="8.28515625" style="31" customWidth="1"/>
    <col min="515" max="515" width="12.42578125" style="31" customWidth="1"/>
    <col min="516" max="516" width="10.42578125" style="31" customWidth="1"/>
    <col min="517" max="517" width="13.7109375" style="31" customWidth="1"/>
    <col min="518" max="519" width="9.85546875" style="31" customWidth="1"/>
    <col min="520" max="520" width="16.42578125" style="31" customWidth="1"/>
    <col min="521" max="521" width="9.140625" style="31"/>
    <col min="522" max="522" width="11.28515625" style="31" customWidth="1"/>
    <col min="523" max="525" width="9.140625" style="31"/>
    <col min="526" max="526" width="18" style="31" customWidth="1"/>
    <col min="527" max="744" width="9.140625" style="31"/>
    <col min="745" max="745" width="3.7109375" style="31" customWidth="1"/>
    <col min="746" max="746" width="8.140625" style="31" customWidth="1"/>
    <col min="747" max="747" width="18.140625" style="31" customWidth="1"/>
    <col min="748" max="748" width="6.5703125" style="31" customWidth="1"/>
    <col min="749" max="749" width="10.28515625" style="31" customWidth="1"/>
    <col min="750" max="750" width="7.28515625" style="31" customWidth="1"/>
    <col min="751" max="751" width="6" style="31" customWidth="1"/>
    <col min="752" max="752" width="5.7109375" style="31" customWidth="1"/>
    <col min="753" max="758" width="9.7109375" style="31" customWidth="1"/>
    <col min="759" max="759" width="10" style="31" customWidth="1"/>
    <col min="760" max="761" width="13.42578125" style="31" customWidth="1"/>
    <col min="762" max="762" width="10.140625" style="31" customWidth="1"/>
    <col min="763" max="764" width="10" style="31" customWidth="1"/>
    <col min="765" max="765" width="10.7109375" style="31" customWidth="1"/>
    <col min="766" max="766" width="12.5703125" style="31" customWidth="1"/>
    <col min="767" max="767" width="7.5703125" style="31" customWidth="1"/>
    <col min="768" max="768" width="9.5703125" style="31" customWidth="1"/>
    <col min="769" max="769" width="8" style="31" customWidth="1"/>
    <col min="770" max="770" width="8.28515625" style="31" customWidth="1"/>
    <col min="771" max="771" width="12.42578125" style="31" customWidth="1"/>
    <col min="772" max="772" width="10.42578125" style="31" customWidth="1"/>
    <col min="773" max="773" width="13.7109375" style="31" customWidth="1"/>
    <col min="774" max="775" width="9.85546875" style="31" customWidth="1"/>
    <col min="776" max="776" width="16.42578125" style="31" customWidth="1"/>
    <col min="777" max="777" width="9.140625" style="31"/>
    <col min="778" max="778" width="11.28515625" style="31" customWidth="1"/>
    <col min="779" max="781" width="9.140625" style="31"/>
    <col min="782" max="782" width="18" style="31" customWidth="1"/>
    <col min="783" max="999" width="9.140625" style="31"/>
    <col min="1000" max="16384" width="9.140625" style="33"/>
  </cols>
  <sheetData>
    <row r="1" spans="1:999" s="7" customFormat="1" ht="21" customHeight="1">
      <c r="A1" s="100" t="s">
        <v>97</v>
      </c>
      <c r="B1" s="100"/>
      <c r="C1" s="101"/>
      <c r="D1" s="2"/>
      <c r="E1" s="102"/>
      <c r="F1" s="103"/>
      <c r="G1" s="3"/>
      <c r="H1" s="4"/>
      <c r="I1" s="4"/>
      <c r="J1" s="4"/>
      <c r="K1" s="17"/>
      <c r="L1" s="17"/>
      <c r="M1" s="17"/>
      <c r="N1" s="17"/>
      <c r="O1" s="63"/>
      <c r="P1" s="4"/>
      <c r="Q1" s="4"/>
      <c r="R1" s="4"/>
      <c r="S1" s="4"/>
      <c r="T1" s="4"/>
      <c r="U1" s="5"/>
      <c r="V1" s="5"/>
      <c r="W1" s="5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63"/>
      <c r="AJ1" s="4"/>
      <c r="AK1" s="63"/>
      <c r="AL1" s="4"/>
      <c r="AM1" s="1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</row>
    <row r="2" spans="1:999" s="8" customFormat="1" ht="14.25" customHeight="1">
      <c r="A2" s="43"/>
      <c r="B2" s="44"/>
      <c r="C2" s="54"/>
      <c r="D2" s="104"/>
      <c r="E2" s="105"/>
      <c r="F2" s="106"/>
      <c r="G2" s="107"/>
      <c r="H2" s="108" t="s">
        <v>36</v>
      </c>
      <c r="I2" s="108"/>
      <c r="J2" s="108"/>
      <c r="K2" s="109" t="s">
        <v>41</v>
      </c>
      <c r="L2" s="109"/>
      <c r="M2" s="109"/>
      <c r="N2" s="109"/>
      <c r="O2" s="70"/>
      <c r="P2" s="110" t="s">
        <v>4</v>
      </c>
      <c r="Q2" s="110"/>
      <c r="R2" s="110"/>
      <c r="S2" s="110"/>
      <c r="T2" s="111"/>
      <c r="U2" s="112" t="s">
        <v>29</v>
      </c>
      <c r="V2" s="112"/>
      <c r="W2" s="112"/>
      <c r="X2" s="112"/>
      <c r="Y2" s="112"/>
      <c r="Z2" s="112"/>
      <c r="AA2" s="112"/>
      <c r="AB2" s="112"/>
      <c r="AC2" s="112"/>
      <c r="AD2" s="113"/>
      <c r="AE2" s="114"/>
      <c r="AF2" s="115"/>
      <c r="AG2" s="116"/>
      <c r="AH2" s="117"/>
      <c r="AI2" s="118"/>
      <c r="AJ2" s="119"/>
      <c r="AK2" s="120"/>
      <c r="AL2" s="121"/>
      <c r="AM2" s="51"/>
    </row>
    <row r="3" spans="1:999" s="8" customFormat="1" ht="22.5" customHeight="1">
      <c r="A3" s="81" t="s">
        <v>0</v>
      </c>
      <c r="B3" s="80" t="s">
        <v>27</v>
      </c>
      <c r="C3" s="122" t="s">
        <v>1</v>
      </c>
      <c r="D3" s="123" t="s">
        <v>22</v>
      </c>
      <c r="E3" s="124" t="s">
        <v>23</v>
      </c>
      <c r="F3" s="125" t="s">
        <v>2</v>
      </c>
      <c r="G3" s="126" t="s">
        <v>3</v>
      </c>
      <c r="H3" s="127" t="s">
        <v>9</v>
      </c>
      <c r="I3" s="127" t="s">
        <v>10</v>
      </c>
      <c r="J3" s="127" t="s">
        <v>38</v>
      </c>
      <c r="K3" s="128" t="s">
        <v>6</v>
      </c>
      <c r="L3" s="128" t="s">
        <v>7</v>
      </c>
      <c r="M3" s="79" t="s">
        <v>50</v>
      </c>
      <c r="N3" s="129" t="s">
        <v>8</v>
      </c>
      <c r="O3" s="88" t="s">
        <v>42</v>
      </c>
      <c r="P3" s="130" t="s">
        <v>11</v>
      </c>
      <c r="Q3" s="130" t="s">
        <v>28</v>
      </c>
      <c r="R3" s="130" t="s">
        <v>71</v>
      </c>
      <c r="S3" s="130" t="s">
        <v>12</v>
      </c>
      <c r="T3" s="131" t="s">
        <v>34</v>
      </c>
      <c r="U3" s="132" t="s">
        <v>31</v>
      </c>
      <c r="V3" s="132" t="s">
        <v>30</v>
      </c>
      <c r="W3" s="132" t="s">
        <v>43</v>
      </c>
      <c r="X3" s="132" t="s">
        <v>32</v>
      </c>
      <c r="Y3" s="132" t="s">
        <v>33</v>
      </c>
      <c r="Z3" s="132" t="s">
        <v>72</v>
      </c>
      <c r="AA3" s="132" t="s">
        <v>73</v>
      </c>
      <c r="AB3" s="132" t="s">
        <v>74</v>
      </c>
      <c r="AC3" s="132" t="s">
        <v>12</v>
      </c>
      <c r="AD3" s="133" t="s">
        <v>98</v>
      </c>
      <c r="AE3" s="134" t="s">
        <v>99</v>
      </c>
      <c r="AF3" s="135" t="s">
        <v>75</v>
      </c>
      <c r="AG3" s="136" t="s">
        <v>45</v>
      </c>
      <c r="AH3" s="137" t="s">
        <v>100</v>
      </c>
      <c r="AI3" s="138" t="s">
        <v>101</v>
      </c>
      <c r="AJ3" s="139" t="s">
        <v>37</v>
      </c>
      <c r="AK3" s="140" t="s">
        <v>46</v>
      </c>
      <c r="AL3" s="141" t="s">
        <v>35</v>
      </c>
      <c r="AM3" s="84" t="s">
        <v>5</v>
      </c>
    </row>
    <row r="4" spans="1:999" s="8" customFormat="1" ht="20.25" customHeight="1">
      <c r="A4" s="81"/>
      <c r="B4" s="80"/>
      <c r="C4" s="122"/>
      <c r="D4" s="123"/>
      <c r="E4" s="124"/>
      <c r="F4" s="125"/>
      <c r="G4" s="126"/>
      <c r="H4" s="127"/>
      <c r="I4" s="127"/>
      <c r="J4" s="127"/>
      <c r="K4" s="128"/>
      <c r="L4" s="128"/>
      <c r="M4" s="79"/>
      <c r="N4" s="129"/>
      <c r="O4" s="88"/>
      <c r="P4" s="130"/>
      <c r="Q4" s="130"/>
      <c r="R4" s="130"/>
      <c r="S4" s="130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42"/>
      <c r="AE4" s="134"/>
      <c r="AF4" s="143"/>
      <c r="AG4" s="136"/>
      <c r="AH4" s="144"/>
      <c r="AI4" s="145"/>
      <c r="AJ4" s="139"/>
      <c r="AK4" s="140"/>
      <c r="AL4" s="141"/>
      <c r="AM4" s="84"/>
    </row>
    <row r="5" spans="1:999" s="57" customFormat="1" ht="13.9" customHeight="1">
      <c r="A5" s="9">
        <f t="shared" ref="A5:A24" si="0">ROW()-4</f>
        <v>1</v>
      </c>
      <c r="B5" s="10" t="s">
        <v>13</v>
      </c>
      <c r="C5" s="73" t="s">
        <v>14</v>
      </c>
      <c r="D5" s="68" t="s">
        <v>25</v>
      </c>
      <c r="E5" s="146" t="s">
        <v>48</v>
      </c>
      <c r="F5" s="146" t="s">
        <v>24</v>
      </c>
      <c r="G5" s="41">
        <v>20</v>
      </c>
      <c r="H5" s="39">
        <v>0</v>
      </c>
      <c r="I5" s="39">
        <v>46200000</v>
      </c>
      <c r="J5" s="39">
        <v>0</v>
      </c>
      <c r="K5" s="40"/>
      <c r="L5" s="147">
        <v>20</v>
      </c>
      <c r="M5" s="40"/>
      <c r="N5" s="40">
        <f t="shared" ref="N5:N8" si="1">K5+L5+M5</f>
        <v>20</v>
      </c>
      <c r="O5" s="39">
        <f>(H5/G5*K5)+(I5/G5*L5)+(I5/G5*M5)</f>
        <v>46200000</v>
      </c>
      <c r="P5" s="39"/>
      <c r="Q5" s="39"/>
      <c r="R5" s="39"/>
      <c r="S5" s="39">
        <v>0</v>
      </c>
      <c r="T5" s="39"/>
      <c r="U5" s="39"/>
      <c r="V5" s="39">
        <v>33463199.571000002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148">
        <f t="shared" ref="AG5:AG23" si="2">O5+P5+Q5+R5+S5+U5+V5+W5+X5+Y5+Z5+AA5+AB5+AC5-AE5-AD5+AF5</f>
        <v>79663199.57100001</v>
      </c>
      <c r="AH5" s="148">
        <v>10550000</v>
      </c>
      <c r="AI5" s="148">
        <f t="shared" ref="AI5:AI24" si="3">AG5-AH5</f>
        <v>69113199.57100001</v>
      </c>
      <c r="AJ5" s="39">
        <v>10000000</v>
      </c>
      <c r="AK5" s="39">
        <f t="shared" ref="AK5:AK16" si="4">AJ5*32%</f>
        <v>3200000</v>
      </c>
      <c r="AL5" s="148">
        <f t="shared" ref="AL5:AL24" si="5">AG5+AK5</f>
        <v>82863199.57100001</v>
      </c>
      <c r="AM5" s="38"/>
      <c r="AN5" s="56"/>
      <c r="AO5" s="56"/>
    </row>
    <row r="6" spans="1:999" s="57" customFormat="1" ht="13.9" customHeight="1">
      <c r="A6" s="9">
        <f t="shared" si="0"/>
        <v>2</v>
      </c>
      <c r="B6" s="36" t="s">
        <v>93</v>
      </c>
      <c r="C6" s="73" t="s">
        <v>94</v>
      </c>
      <c r="D6" s="68" t="s">
        <v>25</v>
      </c>
      <c r="E6" s="146" t="s">
        <v>48</v>
      </c>
      <c r="F6" s="146" t="s">
        <v>96</v>
      </c>
      <c r="G6" s="41">
        <v>20</v>
      </c>
      <c r="H6" s="39">
        <f>I6*85%</f>
        <v>21250000</v>
      </c>
      <c r="I6" s="39">
        <v>25000000</v>
      </c>
      <c r="J6" s="39">
        <v>0</v>
      </c>
      <c r="K6" s="147"/>
      <c r="L6" s="147">
        <v>19.8666625</v>
      </c>
      <c r="M6" s="40"/>
      <c r="N6" s="40">
        <f t="shared" si="1"/>
        <v>19.8666625</v>
      </c>
      <c r="O6" s="39">
        <f>(H6/G6*K6)+(I6/G6*L6)+(I6/G6*M6)</f>
        <v>24833328.125</v>
      </c>
      <c r="P6" s="39"/>
      <c r="Q6" s="39"/>
      <c r="R6" s="39"/>
      <c r="S6" s="39">
        <v>0</v>
      </c>
      <c r="T6" s="39"/>
      <c r="U6" s="39"/>
      <c r="V6" s="39">
        <v>42715220.640000001</v>
      </c>
      <c r="W6" s="39"/>
      <c r="X6" s="39"/>
      <c r="Y6" s="39"/>
      <c r="Z6" s="39"/>
      <c r="AA6" s="39"/>
      <c r="AB6" s="39"/>
      <c r="AC6" s="39"/>
      <c r="AD6" s="39"/>
      <c r="AE6" s="39"/>
      <c r="AF6" s="39"/>
      <c r="AG6" s="148">
        <f t="shared" si="2"/>
        <v>67548548.765000001</v>
      </c>
      <c r="AH6" s="148">
        <v>6970000</v>
      </c>
      <c r="AI6" s="148">
        <f t="shared" si="3"/>
        <v>60578548.765000001</v>
      </c>
      <c r="AJ6" s="39">
        <v>6000000</v>
      </c>
      <c r="AK6" s="39">
        <f t="shared" si="4"/>
        <v>1920000</v>
      </c>
      <c r="AL6" s="148">
        <f t="shared" si="5"/>
        <v>69468548.765000001</v>
      </c>
      <c r="AM6" s="38"/>
      <c r="AN6" s="56"/>
      <c r="AO6" s="56"/>
    </row>
    <row r="7" spans="1:999" s="57" customFormat="1" ht="13.9" customHeight="1">
      <c r="A7" s="9">
        <f t="shared" si="0"/>
        <v>3</v>
      </c>
      <c r="B7" s="36" t="s">
        <v>102</v>
      </c>
      <c r="C7" s="73" t="s">
        <v>103</v>
      </c>
      <c r="D7" s="68" t="s">
        <v>25</v>
      </c>
      <c r="E7" s="146" t="s">
        <v>48</v>
      </c>
      <c r="F7" s="146" t="s">
        <v>104</v>
      </c>
      <c r="G7" s="41">
        <v>20</v>
      </c>
      <c r="H7" s="39">
        <v>0</v>
      </c>
      <c r="I7" s="39">
        <v>4000000</v>
      </c>
      <c r="J7" s="39">
        <v>0</v>
      </c>
      <c r="K7" s="147"/>
      <c r="L7" s="147">
        <v>5</v>
      </c>
      <c r="M7" s="40"/>
      <c r="N7" s="40">
        <f t="shared" si="1"/>
        <v>5</v>
      </c>
      <c r="O7" s="39">
        <f>(H7/G7*K7)+(I7/G7*L7)+(I7/G7*M7)</f>
        <v>1000000</v>
      </c>
      <c r="P7" s="39"/>
      <c r="Q7" s="39"/>
      <c r="R7" s="39"/>
      <c r="S7" s="39">
        <v>0</v>
      </c>
      <c r="T7" s="39"/>
      <c r="U7" s="39"/>
      <c r="V7" s="39">
        <v>0</v>
      </c>
      <c r="W7" s="39"/>
      <c r="X7" s="39"/>
      <c r="Y7" s="39"/>
      <c r="Z7" s="39"/>
      <c r="AA7" s="39"/>
      <c r="AB7" s="39"/>
      <c r="AC7" s="39"/>
      <c r="AD7" s="39"/>
      <c r="AE7" s="39"/>
      <c r="AF7" s="39"/>
      <c r="AG7" s="148">
        <f t="shared" si="2"/>
        <v>1000000</v>
      </c>
      <c r="AH7" s="148"/>
      <c r="AI7" s="148">
        <f t="shared" si="3"/>
        <v>1000000</v>
      </c>
      <c r="AJ7" s="39"/>
      <c r="AK7" s="39">
        <f t="shared" si="4"/>
        <v>0</v>
      </c>
      <c r="AL7" s="148">
        <f t="shared" si="5"/>
        <v>1000000</v>
      </c>
      <c r="AM7" s="38"/>
      <c r="AN7" s="56"/>
      <c r="AO7" s="56"/>
    </row>
    <row r="8" spans="1:999" s="57" customFormat="1" ht="13.9" customHeight="1">
      <c r="A8" s="9">
        <f t="shared" si="0"/>
        <v>4</v>
      </c>
      <c r="B8" s="10" t="s">
        <v>54</v>
      </c>
      <c r="C8" s="73" t="s">
        <v>49</v>
      </c>
      <c r="D8" s="68" t="s">
        <v>25</v>
      </c>
      <c r="E8" s="146" t="s">
        <v>47</v>
      </c>
      <c r="F8" s="146" t="s">
        <v>92</v>
      </c>
      <c r="G8" s="41">
        <v>20</v>
      </c>
      <c r="H8" s="39"/>
      <c r="I8" s="39">
        <v>14000000</v>
      </c>
      <c r="J8" s="39">
        <v>0</v>
      </c>
      <c r="K8" s="40"/>
      <c r="L8" s="147">
        <v>23.125</v>
      </c>
      <c r="M8" s="40">
        <v>1.125</v>
      </c>
      <c r="N8" s="40">
        <f t="shared" si="1"/>
        <v>24.25</v>
      </c>
      <c r="O8" s="39">
        <f t="shared" ref="O8:O14" si="6">(H8/G8*K8)+(I8/G8*L8)+(I8/G8*M8)</f>
        <v>16975000</v>
      </c>
      <c r="P8" s="39"/>
      <c r="Q8" s="39"/>
      <c r="R8" s="39"/>
      <c r="S8" s="39">
        <v>0</v>
      </c>
      <c r="T8" s="39"/>
      <c r="U8" s="39"/>
      <c r="V8" s="39">
        <v>6366666.666666667</v>
      </c>
      <c r="W8" s="39"/>
      <c r="X8" s="39"/>
      <c r="Y8" s="39"/>
      <c r="Z8" s="39"/>
      <c r="AA8" s="39"/>
      <c r="AB8" s="39"/>
      <c r="AC8" s="39"/>
      <c r="AD8" s="39"/>
      <c r="AE8" s="39"/>
      <c r="AF8" s="39"/>
      <c r="AG8" s="148">
        <f t="shared" si="2"/>
        <v>23341666.666666668</v>
      </c>
      <c r="AH8" s="148">
        <v>6970000</v>
      </c>
      <c r="AI8" s="148">
        <f t="shared" si="3"/>
        <v>16371666.666666668</v>
      </c>
      <c r="AJ8" s="39">
        <v>6000000</v>
      </c>
      <c r="AK8" s="39">
        <f t="shared" si="4"/>
        <v>1920000</v>
      </c>
      <c r="AL8" s="148">
        <f t="shared" si="5"/>
        <v>25261666.666666668</v>
      </c>
      <c r="AM8" s="38"/>
      <c r="AN8" s="56"/>
      <c r="AO8" s="56"/>
    </row>
    <row r="9" spans="1:999" s="57" customFormat="1" ht="12">
      <c r="A9" s="9">
        <f t="shared" si="0"/>
        <v>5</v>
      </c>
      <c r="B9" s="10" t="s">
        <v>15</v>
      </c>
      <c r="C9" s="73" t="s">
        <v>16</v>
      </c>
      <c r="D9" s="68" t="s">
        <v>25</v>
      </c>
      <c r="E9" s="146" t="s">
        <v>47</v>
      </c>
      <c r="F9" s="146" t="s">
        <v>70</v>
      </c>
      <c r="G9" s="41">
        <v>20</v>
      </c>
      <c r="H9" s="39">
        <v>0</v>
      </c>
      <c r="I9" s="39">
        <v>21000000</v>
      </c>
      <c r="J9" s="39">
        <v>0</v>
      </c>
      <c r="K9" s="40"/>
      <c r="L9" s="147">
        <v>19.5</v>
      </c>
      <c r="M9" s="40"/>
      <c r="N9" s="40"/>
      <c r="O9" s="39">
        <f t="shared" si="6"/>
        <v>20475000</v>
      </c>
      <c r="P9" s="39"/>
      <c r="Q9" s="39"/>
      <c r="R9" s="39"/>
      <c r="S9" s="39">
        <v>0</v>
      </c>
      <c r="T9" s="39"/>
      <c r="U9" s="39"/>
      <c r="V9" s="39">
        <v>10306666.666666666</v>
      </c>
      <c r="W9" s="39"/>
      <c r="X9" s="39"/>
      <c r="Y9" s="39"/>
      <c r="Z9" s="39"/>
      <c r="AA9" s="39"/>
      <c r="AB9" s="39"/>
      <c r="AC9" s="39"/>
      <c r="AD9" s="39"/>
      <c r="AE9" s="39"/>
      <c r="AF9" s="39"/>
      <c r="AG9" s="148">
        <f t="shared" si="2"/>
        <v>30781666.666666664</v>
      </c>
      <c r="AH9" s="148">
        <v>6970000</v>
      </c>
      <c r="AI9" s="148">
        <f t="shared" si="3"/>
        <v>23811666.666666664</v>
      </c>
      <c r="AJ9" s="39">
        <v>6000000</v>
      </c>
      <c r="AK9" s="39">
        <f t="shared" si="4"/>
        <v>1920000</v>
      </c>
      <c r="AL9" s="148">
        <f t="shared" si="5"/>
        <v>32701666.666666664</v>
      </c>
      <c r="AM9" s="38"/>
      <c r="AN9" s="56"/>
      <c r="AO9" s="56"/>
    </row>
    <row r="10" spans="1:999" s="57" customFormat="1" ht="13.5" customHeight="1">
      <c r="A10" s="9">
        <f t="shared" si="0"/>
        <v>6</v>
      </c>
      <c r="B10" s="10" t="s">
        <v>51</v>
      </c>
      <c r="C10" s="73" t="s">
        <v>52</v>
      </c>
      <c r="D10" s="68" t="s">
        <v>25</v>
      </c>
      <c r="E10" s="146" t="s">
        <v>47</v>
      </c>
      <c r="F10" s="146" t="s">
        <v>53</v>
      </c>
      <c r="G10" s="41">
        <v>20</v>
      </c>
      <c r="H10" s="39"/>
      <c r="I10" s="39">
        <v>12500000</v>
      </c>
      <c r="J10" s="39">
        <v>0</v>
      </c>
      <c r="K10" s="40"/>
      <c r="L10" s="147">
        <v>23.104175000000001</v>
      </c>
      <c r="M10" s="40">
        <v>1.125</v>
      </c>
      <c r="N10" s="40"/>
      <c r="O10" s="39">
        <f t="shared" si="6"/>
        <v>15143234.375</v>
      </c>
      <c r="P10" s="39"/>
      <c r="Q10" s="39"/>
      <c r="R10" s="39"/>
      <c r="S10" s="39">
        <v>0</v>
      </c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148">
        <f t="shared" si="2"/>
        <v>15143234.375</v>
      </c>
      <c r="AH10" s="148">
        <v>6970000</v>
      </c>
      <c r="AI10" s="148">
        <f t="shared" si="3"/>
        <v>8173234.375</v>
      </c>
      <c r="AJ10" s="39">
        <v>6000000</v>
      </c>
      <c r="AK10" s="39">
        <f t="shared" si="4"/>
        <v>1920000</v>
      </c>
      <c r="AL10" s="148">
        <f t="shared" si="5"/>
        <v>17063234.375</v>
      </c>
      <c r="AM10" s="38"/>
      <c r="AN10" s="56"/>
      <c r="AO10" s="56"/>
    </row>
    <row r="11" spans="1:999" s="57" customFormat="1" ht="13.9" customHeight="1">
      <c r="A11" s="9">
        <f t="shared" si="0"/>
        <v>7</v>
      </c>
      <c r="B11" s="10" t="s">
        <v>17</v>
      </c>
      <c r="C11" s="73" t="s">
        <v>18</v>
      </c>
      <c r="D11" s="68" t="s">
        <v>25</v>
      </c>
      <c r="E11" s="146" t="s">
        <v>47</v>
      </c>
      <c r="F11" s="146" t="s">
        <v>68</v>
      </c>
      <c r="G11" s="41">
        <v>20</v>
      </c>
      <c r="H11" s="39">
        <v>0</v>
      </c>
      <c r="I11" s="39">
        <v>16000000</v>
      </c>
      <c r="J11" s="39">
        <v>0</v>
      </c>
      <c r="K11" s="40"/>
      <c r="L11" s="147">
        <f>19.9895875+7</f>
        <v>26.989587499999999</v>
      </c>
      <c r="M11" s="40">
        <v>0.75</v>
      </c>
      <c r="N11" s="40">
        <f>K11+L11+M11</f>
        <v>27.739587499999999</v>
      </c>
      <c r="O11" s="39">
        <f t="shared" si="6"/>
        <v>22191670</v>
      </c>
      <c r="P11" s="39"/>
      <c r="Q11" s="39"/>
      <c r="R11" s="39"/>
      <c r="S11" s="39">
        <v>0</v>
      </c>
      <c r="T11" s="39"/>
      <c r="U11" s="39"/>
      <c r="V11" s="39">
        <v>944185.67964671506</v>
      </c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148">
        <f t="shared" si="2"/>
        <v>23135855.679646716</v>
      </c>
      <c r="AH11" s="148">
        <v>6970000</v>
      </c>
      <c r="AI11" s="148">
        <f t="shared" si="3"/>
        <v>16165855.679646716</v>
      </c>
      <c r="AJ11" s="39">
        <v>6000000</v>
      </c>
      <c r="AK11" s="39">
        <f t="shared" si="4"/>
        <v>1920000</v>
      </c>
      <c r="AL11" s="148">
        <f t="shared" si="5"/>
        <v>25055855.679646716</v>
      </c>
      <c r="AM11" s="38"/>
      <c r="AN11" s="56"/>
      <c r="AO11" s="56"/>
    </row>
    <row r="12" spans="1:999" s="57" customFormat="1" ht="13.9" customHeight="1">
      <c r="A12" s="9">
        <f t="shared" si="0"/>
        <v>8</v>
      </c>
      <c r="B12" s="10" t="s">
        <v>19</v>
      </c>
      <c r="C12" s="73" t="s">
        <v>20</v>
      </c>
      <c r="D12" s="68" t="s">
        <v>25</v>
      </c>
      <c r="E12" s="146" t="s">
        <v>47</v>
      </c>
      <c r="F12" s="146" t="s">
        <v>58</v>
      </c>
      <c r="G12" s="41">
        <v>20</v>
      </c>
      <c r="H12" s="39">
        <v>0</v>
      </c>
      <c r="I12" s="39">
        <v>20000000</v>
      </c>
      <c r="J12" s="39">
        <v>0</v>
      </c>
      <c r="K12" s="40"/>
      <c r="L12" s="147">
        <f>19.3895875+7</f>
        <v>26.389587500000001</v>
      </c>
      <c r="M12" s="40">
        <v>2.25</v>
      </c>
      <c r="N12" s="40">
        <f>K12+L12+M12</f>
        <v>28.639587500000001</v>
      </c>
      <c r="O12" s="39">
        <f t="shared" si="6"/>
        <v>28639587.5</v>
      </c>
      <c r="P12" s="39"/>
      <c r="Q12" s="39"/>
      <c r="R12" s="39"/>
      <c r="S12" s="39">
        <v>0</v>
      </c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>
        <v>69186</v>
      </c>
      <c r="AE12" s="39"/>
      <c r="AF12" s="39"/>
      <c r="AG12" s="148">
        <f t="shared" si="2"/>
        <v>28570401.5</v>
      </c>
      <c r="AH12" s="148">
        <v>6970000</v>
      </c>
      <c r="AI12" s="148">
        <f t="shared" si="3"/>
        <v>21600401.5</v>
      </c>
      <c r="AJ12" s="39">
        <v>6000000</v>
      </c>
      <c r="AK12" s="39">
        <f t="shared" si="4"/>
        <v>1920000</v>
      </c>
      <c r="AL12" s="148">
        <f t="shared" si="5"/>
        <v>30490401.5</v>
      </c>
      <c r="AM12" s="38"/>
      <c r="AN12" s="56"/>
      <c r="AO12" s="56"/>
    </row>
    <row r="13" spans="1:999" s="57" customFormat="1" ht="13.9" customHeight="1">
      <c r="A13" s="9">
        <f t="shared" si="0"/>
        <v>9</v>
      </c>
      <c r="B13" s="10" t="s">
        <v>62</v>
      </c>
      <c r="C13" s="73" t="s">
        <v>63</v>
      </c>
      <c r="D13" s="68" t="s">
        <v>25</v>
      </c>
      <c r="E13" s="146" t="s">
        <v>47</v>
      </c>
      <c r="F13" s="146" t="s">
        <v>26</v>
      </c>
      <c r="G13" s="41">
        <v>20</v>
      </c>
      <c r="H13" s="39"/>
      <c r="I13" s="39">
        <v>10500000</v>
      </c>
      <c r="J13" s="39">
        <v>0</v>
      </c>
      <c r="K13" s="40"/>
      <c r="L13" s="147">
        <v>25.752075000000001</v>
      </c>
      <c r="M13" s="40">
        <v>3.9375</v>
      </c>
      <c r="N13" s="40"/>
      <c r="O13" s="39">
        <f>(H13/G13*K13)+(I13/G13*L13)+(I13/G13*M13)</f>
        <v>15587026.875</v>
      </c>
      <c r="P13" s="39"/>
      <c r="Q13" s="39"/>
      <c r="R13" s="39"/>
      <c r="S13" s="39">
        <v>0</v>
      </c>
      <c r="T13" s="39"/>
      <c r="U13" s="39"/>
      <c r="V13" s="39">
        <v>4441666.666666666</v>
      </c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148">
        <f t="shared" si="2"/>
        <v>20028693.541666664</v>
      </c>
      <c r="AH13" s="148">
        <v>6970000</v>
      </c>
      <c r="AI13" s="148">
        <f t="shared" si="3"/>
        <v>13058693.541666664</v>
      </c>
      <c r="AJ13" s="39">
        <v>6000000</v>
      </c>
      <c r="AK13" s="39">
        <f t="shared" si="4"/>
        <v>1920000</v>
      </c>
      <c r="AL13" s="148">
        <f t="shared" si="5"/>
        <v>21948693.541666664</v>
      </c>
      <c r="AM13" s="38"/>
      <c r="AN13" s="56"/>
      <c r="AO13" s="56"/>
    </row>
    <row r="14" spans="1:999" s="57" customFormat="1" ht="13.9" customHeight="1">
      <c r="A14" s="9">
        <f t="shared" si="0"/>
        <v>10</v>
      </c>
      <c r="B14" s="36" t="s">
        <v>64</v>
      </c>
      <c r="C14" s="73" t="s">
        <v>65</v>
      </c>
      <c r="D14" s="68" t="s">
        <v>25</v>
      </c>
      <c r="E14" s="146" t="s">
        <v>47</v>
      </c>
      <c r="F14" s="146" t="s">
        <v>68</v>
      </c>
      <c r="G14" s="41">
        <v>20</v>
      </c>
      <c r="H14" s="39"/>
      <c r="I14" s="39">
        <v>11500000</v>
      </c>
      <c r="J14" s="39">
        <v>0</v>
      </c>
      <c r="K14" s="40"/>
      <c r="L14" s="147">
        <v>20.347925</v>
      </c>
      <c r="M14" s="40"/>
      <c r="N14" s="40"/>
      <c r="O14" s="39">
        <f t="shared" si="6"/>
        <v>11700056.875</v>
      </c>
      <c r="P14" s="39"/>
      <c r="Q14" s="39"/>
      <c r="R14" s="39"/>
      <c r="S14" s="39">
        <v>0</v>
      </c>
      <c r="T14" s="39"/>
      <c r="U14" s="39"/>
      <c r="V14" s="39">
        <v>3400000</v>
      </c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148">
        <f t="shared" si="2"/>
        <v>15100056.875</v>
      </c>
      <c r="AH14" s="148">
        <v>6970000</v>
      </c>
      <c r="AI14" s="148">
        <f t="shared" si="3"/>
        <v>8130056.875</v>
      </c>
      <c r="AJ14" s="39">
        <v>6000000</v>
      </c>
      <c r="AK14" s="39">
        <f t="shared" si="4"/>
        <v>1920000</v>
      </c>
      <c r="AL14" s="148">
        <f t="shared" si="5"/>
        <v>17020056.875</v>
      </c>
      <c r="AM14" s="38"/>
      <c r="AN14" s="56"/>
      <c r="AO14" s="56"/>
    </row>
    <row r="15" spans="1:999" s="57" customFormat="1" ht="13.9" customHeight="1">
      <c r="A15" s="9">
        <f t="shared" si="0"/>
        <v>11</v>
      </c>
      <c r="B15" s="36" t="s">
        <v>76</v>
      </c>
      <c r="C15" s="73" t="s">
        <v>78</v>
      </c>
      <c r="D15" s="68" t="s">
        <v>25</v>
      </c>
      <c r="E15" s="146" t="s">
        <v>47</v>
      </c>
      <c r="F15" s="146" t="s">
        <v>77</v>
      </c>
      <c r="G15" s="41">
        <v>20</v>
      </c>
      <c r="H15" s="39">
        <f>I15*85%</f>
        <v>10200000</v>
      </c>
      <c r="I15" s="39">
        <v>12000000</v>
      </c>
      <c r="J15" s="39">
        <v>0</v>
      </c>
      <c r="K15" s="40"/>
      <c r="L15" s="147">
        <v>17.479150000000001</v>
      </c>
      <c r="M15" s="40"/>
      <c r="N15" s="40">
        <f>K15+L15+M15</f>
        <v>17.479150000000001</v>
      </c>
      <c r="O15" s="39">
        <f>(H15/G15*K15)+(I15/G15*L15)+(I15/G15*M15)</f>
        <v>10487490</v>
      </c>
      <c r="P15" s="39"/>
      <c r="Q15" s="39"/>
      <c r="R15" s="39"/>
      <c r="S15" s="39">
        <v>0</v>
      </c>
      <c r="T15" s="39"/>
      <c r="U15" s="39"/>
      <c r="V15" s="39">
        <v>2400000</v>
      </c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148">
        <f t="shared" si="2"/>
        <v>12887490</v>
      </c>
      <c r="AH15" s="148">
        <v>6970000</v>
      </c>
      <c r="AI15" s="148">
        <f t="shared" si="3"/>
        <v>5917490</v>
      </c>
      <c r="AJ15" s="39">
        <v>6000000</v>
      </c>
      <c r="AK15" s="39">
        <f t="shared" si="4"/>
        <v>1920000</v>
      </c>
      <c r="AL15" s="148">
        <f t="shared" si="5"/>
        <v>14807490</v>
      </c>
      <c r="AM15" s="38"/>
      <c r="AN15" s="56"/>
      <c r="AO15" s="56"/>
    </row>
    <row r="16" spans="1:999" s="57" customFormat="1" ht="13.9" customHeight="1">
      <c r="A16" s="9">
        <f t="shared" si="0"/>
        <v>12</v>
      </c>
      <c r="B16" s="36" t="s">
        <v>66</v>
      </c>
      <c r="C16" s="73" t="s">
        <v>67</v>
      </c>
      <c r="D16" s="68" t="s">
        <v>25</v>
      </c>
      <c r="E16" s="146" t="s">
        <v>47</v>
      </c>
      <c r="F16" s="146" t="s">
        <v>69</v>
      </c>
      <c r="G16" s="41">
        <v>20</v>
      </c>
      <c r="H16" s="39">
        <v>0</v>
      </c>
      <c r="I16" s="39">
        <v>4500000</v>
      </c>
      <c r="J16" s="39">
        <v>0</v>
      </c>
      <c r="K16" s="40"/>
      <c r="L16" s="147">
        <v>0</v>
      </c>
      <c r="M16" s="40"/>
      <c r="N16" s="40">
        <f t="shared" ref="N16:N17" si="7">K16+L16+M16</f>
        <v>0</v>
      </c>
      <c r="O16" s="39">
        <f>I16</f>
        <v>4500000</v>
      </c>
      <c r="P16" s="39"/>
      <c r="Q16" s="39"/>
      <c r="R16" s="39"/>
      <c r="S16" s="39">
        <v>0</v>
      </c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148">
        <f t="shared" si="2"/>
        <v>4500000</v>
      </c>
      <c r="AH16" s="148"/>
      <c r="AI16" s="148">
        <f t="shared" si="3"/>
        <v>4500000</v>
      </c>
      <c r="AJ16" s="39">
        <v>0</v>
      </c>
      <c r="AK16" s="39">
        <f t="shared" si="4"/>
        <v>0</v>
      </c>
      <c r="AL16" s="148">
        <f t="shared" si="5"/>
        <v>4500000</v>
      </c>
      <c r="AM16" s="38"/>
      <c r="AN16" s="56"/>
      <c r="AO16" s="56"/>
    </row>
    <row r="17" spans="1:41" s="57" customFormat="1" ht="13.9" customHeight="1">
      <c r="A17" s="9">
        <f t="shared" si="0"/>
        <v>13</v>
      </c>
      <c r="B17" s="10" t="s">
        <v>59</v>
      </c>
      <c r="C17" s="73" t="s">
        <v>60</v>
      </c>
      <c r="D17" s="68" t="s">
        <v>25</v>
      </c>
      <c r="E17" s="146" t="s">
        <v>47</v>
      </c>
      <c r="F17" s="146" t="s">
        <v>57</v>
      </c>
      <c r="G17" s="41">
        <v>0</v>
      </c>
      <c r="H17" s="39">
        <v>0</v>
      </c>
      <c r="I17" s="39">
        <v>0</v>
      </c>
      <c r="J17" s="39"/>
      <c r="K17" s="40"/>
      <c r="L17" s="147">
        <v>0</v>
      </c>
      <c r="M17" s="40"/>
      <c r="N17" s="40">
        <f t="shared" si="7"/>
        <v>0</v>
      </c>
      <c r="O17" s="39">
        <v>0</v>
      </c>
      <c r="P17" s="39"/>
      <c r="Q17" s="39"/>
      <c r="R17" s="39"/>
      <c r="S17" s="39"/>
      <c r="T17" s="39"/>
      <c r="U17" s="39"/>
      <c r="V17" s="39"/>
      <c r="W17" s="52"/>
      <c r="X17" s="39"/>
      <c r="Y17" s="39"/>
      <c r="Z17" s="39"/>
      <c r="AA17" s="39"/>
      <c r="AB17" s="149">
        <v>20550000</v>
      </c>
      <c r="AC17" s="39"/>
      <c r="AD17" s="39"/>
      <c r="AE17" s="39"/>
      <c r="AF17" s="39"/>
      <c r="AG17" s="148">
        <f t="shared" si="2"/>
        <v>20550000</v>
      </c>
      <c r="AH17" s="148"/>
      <c r="AI17" s="148">
        <f t="shared" si="3"/>
        <v>20550000</v>
      </c>
      <c r="AJ17" s="39"/>
      <c r="AK17" s="39"/>
      <c r="AL17" s="148">
        <f t="shared" si="5"/>
        <v>20550000</v>
      </c>
      <c r="AM17" s="38"/>
      <c r="AN17" s="56"/>
      <c r="AO17" s="56"/>
    </row>
    <row r="18" spans="1:41" s="57" customFormat="1" ht="13.9" customHeight="1">
      <c r="A18" s="9">
        <f t="shared" si="0"/>
        <v>14</v>
      </c>
      <c r="B18" s="36" t="s">
        <v>105</v>
      </c>
      <c r="C18" s="73" t="s">
        <v>106</v>
      </c>
      <c r="D18" s="68" t="s">
        <v>25</v>
      </c>
      <c r="E18" s="146" t="s">
        <v>47</v>
      </c>
      <c r="F18" s="146" t="s">
        <v>57</v>
      </c>
      <c r="G18" s="41"/>
      <c r="H18" s="39"/>
      <c r="I18" s="39"/>
      <c r="J18" s="39"/>
      <c r="K18" s="40"/>
      <c r="L18" s="147">
        <v>0</v>
      </c>
      <c r="M18" s="40"/>
      <c r="N18" s="40"/>
      <c r="O18" s="39"/>
      <c r="P18" s="39"/>
      <c r="Q18" s="39"/>
      <c r="R18" s="39"/>
      <c r="S18" s="39"/>
      <c r="T18" s="150"/>
      <c r="U18" s="39"/>
      <c r="V18" s="39"/>
      <c r="W18" s="52"/>
      <c r="X18" s="39"/>
      <c r="Y18" s="39"/>
      <c r="Z18" s="39"/>
      <c r="AA18" s="39"/>
      <c r="AB18" s="149">
        <v>1850000</v>
      </c>
      <c r="AC18" s="149"/>
      <c r="AD18" s="149"/>
      <c r="AE18" s="39"/>
      <c r="AF18" s="39"/>
      <c r="AG18" s="148">
        <f t="shared" si="2"/>
        <v>1850000</v>
      </c>
      <c r="AH18" s="148"/>
      <c r="AI18" s="148">
        <f t="shared" si="3"/>
        <v>1850000</v>
      </c>
      <c r="AJ18" s="39"/>
      <c r="AK18" s="39"/>
      <c r="AL18" s="148">
        <f t="shared" si="5"/>
        <v>1850000</v>
      </c>
      <c r="AM18" s="38"/>
      <c r="AN18" s="56"/>
      <c r="AO18" s="56"/>
    </row>
    <row r="19" spans="1:41" s="57" customFormat="1" ht="13.9" customHeight="1">
      <c r="A19" s="9">
        <f t="shared" si="0"/>
        <v>15</v>
      </c>
      <c r="B19" s="36" t="s">
        <v>84</v>
      </c>
      <c r="C19" s="73" t="s">
        <v>81</v>
      </c>
      <c r="D19" s="68" t="s">
        <v>25</v>
      </c>
      <c r="E19" s="146" t="s">
        <v>47</v>
      </c>
      <c r="F19" s="146" t="s">
        <v>57</v>
      </c>
      <c r="G19" s="41"/>
      <c r="H19" s="39"/>
      <c r="I19" s="39"/>
      <c r="J19" s="39"/>
      <c r="K19" s="40"/>
      <c r="L19" s="147">
        <v>0</v>
      </c>
      <c r="M19" s="40"/>
      <c r="N19" s="40"/>
      <c r="O19" s="39"/>
      <c r="P19" s="39"/>
      <c r="Q19" s="39"/>
      <c r="R19" s="39"/>
      <c r="S19" s="39"/>
      <c r="T19" s="150"/>
      <c r="U19" s="39"/>
      <c r="V19" s="39"/>
      <c r="W19" s="52"/>
      <c r="X19" s="39"/>
      <c r="Y19" s="39"/>
      <c r="Z19" s="39"/>
      <c r="AA19" s="39"/>
      <c r="AB19" s="149">
        <v>22947000</v>
      </c>
      <c r="AC19" s="149"/>
      <c r="AD19" s="149"/>
      <c r="AE19" s="39"/>
      <c r="AF19" s="39"/>
      <c r="AG19" s="148">
        <f t="shared" si="2"/>
        <v>22947000</v>
      </c>
      <c r="AH19" s="148"/>
      <c r="AI19" s="148">
        <f t="shared" si="3"/>
        <v>22947000</v>
      </c>
      <c r="AJ19" s="39"/>
      <c r="AK19" s="39"/>
      <c r="AL19" s="148">
        <f t="shared" si="5"/>
        <v>22947000</v>
      </c>
      <c r="AM19" s="38"/>
      <c r="AN19" s="56"/>
      <c r="AO19" s="56"/>
    </row>
    <row r="20" spans="1:41" s="57" customFormat="1" ht="13.9" customHeight="1">
      <c r="A20" s="9">
        <f t="shared" si="0"/>
        <v>16</v>
      </c>
      <c r="B20" s="36" t="s">
        <v>86</v>
      </c>
      <c r="C20" s="73" t="s">
        <v>85</v>
      </c>
      <c r="D20" s="68" t="s">
        <v>25</v>
      </c>
      <c r="E20" s="146" t="s">
        <v>47</v>
      </c>
      <c r="F20" s="146" t="s">
        <v>57</v>
      </c>
      <c r="G20" s="41"/>
      <c r="H20" s="39"/>
      <c r="I20" s="39"/>
      <c r="J20" s="39"/>
      <c r="K20" s="40"/>
      <c r="L20" s="147">
        <v>0</v>
      </c>
      <c r="M20" s="40"/>
      <c r="N20" s="40"/>
      <c r="O20" s="39"/>
      <c r="P20" s="39"/>
      <c r="Q20" s="39"/>
      <c r="R20" s="39"/>
      <c r="S20" s="39"/>
      <c r="T20" s="150"/>
      <c r="U20" s="39"/>
      <c r="V20" s="39"/>
      <c r="W20" s="52"/>
      <c r="X20" s="39"/>
      <c r="Y20" s="39"/>
      <c r="Z20" s="39"/>
      <c r="AA20" s="39"/>
      <c r="AB20" s="149">
        <v>23050000</v>
      </c>
      <c r="AC20" s="149"/>
      <c r="AD20" s="149"/>
      <c r="AE20" s="39"/>
      <c r="AF20" s="39"/>
      <c r="AG20" s="148">
        <f t="shared" si="2"/>
        <v>23050000</v>
      </c>
      <c r="AH20" s="148"/>
      <c r="AI20" s="148">
        <f t="shared" si="3"/>
        <v>23050000</v>
      </c>
      <c r="AJ20" s="39"/>
      <c r="AK20" s="39"/>
      <c r="AL20" s="148">
        <f t="shared" si="5"/>
        <v>23050000</v>
      </c>
      <c r="AM20" s="38"/>
      <c r="AN20" s="56"/>
      <c r="AO20" s="56"/>
    </row>
    <row r="21" spans="1:41" s="57" customFormat="1" ht="13.9" customHeight="1">
      <c r="A21" s="9">
        <f t="shared" si="0"/>
        <v>17</v>
      </c>
      <c r="B21" s="36" t="s">
        <v>87</v>
      </c>
      <c r="C21" s="73" t="s">
        <v>82</v>
      </c>
      <c r="D21" s="68" t="s">
        <v>25</v>
      </c>
      <c r="E21" s="146" t="s">
        <v>47</v>
      </c>
      <c r="F21" s="146" t="s">
        <v>57</v>
      </c>
      <c r="G21" s="41"/>
      <c r="H21" s="39"/>
      <c r="I21" s="39"/>
      <c r="J21" s="39"/>
      <c r="K21" s="40"/>
      <c r="L21" s="147">
        <v>0</v>
      </c>
      <c r="M21" s="40"/>
      <c r="N21" s="151"/>
      <c r="O21" s="39"/>
      <c r="P21" s="39"/>
      <c r="Q21" s="39"/>
      <c r="R21" s="39"/>
      <c r="S21" s="39"/>
      <c r="T21" s="150"/>
      <c r="U21" s="39"/>
      <c r="V21" s="39"/>
      <c r="W21" s="52"/>
      <c r="X21" s="39"/>
      <c r="Y21" s="39"/>
      <c r="Z21" s="39"/>
      <c r="AA21" s="39"/>
      <c r="AB21" s="149">
        <v>7700000</v>
      </c>
      <c r="AC21" s="149"/>
      <c r="AD21" s="149"/>
      <c r="AE21" s="39"/>
      <c r="AF21" s="39"/>
      <c r="AG21" s="148">
        <f t="shared" si="2"/>
        <v>7700000</v>
      </c>
      <c r="AH21" s="148"/>
      <c r="AI21" s="148">
        <f t="shared" si="3"/>
        <v>7700000</v>
      </c>
      <c r="AJ21" s="39"/>
      <c r="AK21" s="39"/>
      <c r="AL21" s="148">
        <f t="shared" si="5"/>
        <v>7700000</v>
      </c>
      <c r="AM21" s="38"/>
      <c r="AN21" s="56"/>
      <c r="AO21" s="56"/>
    </row>
    <row r="22" spans="1:41" s="57" customFormat="1" ht="13.9" customHeight="1">
      <c r="A22" s="9">
        <f t="shared" si="0"/>
        <v>18</v>
      </c>
      <c r="B22" s="36" t="s">
        <v>88</v>
      </c>
      <c r="C22" s="73" t="s">
        <v>83</v>
      </c>
      <c r="D22" s="68" t="s">
        <v>25</v>
      </c>
      <c r="E22" s="146" t="s">
        <v>47</v>
      </c>
      <c r="F22" s="146" t="s">
        <v>57</v>
      </c>
      <c r="G22" s="41"/>
      <c r="H22" s="39"/>
      <c r="I22" s="39"/>
      <c r="J22" s="39"/>
      <c r="K22" s="40"/>
      <c r="L22" s="147">
        <v>0</v>
      </c>
      <c r="M22" s="40"/>
      <c r="N22" s="40"/>
      <c r="O22" s="39"/>
      <c r="P22" s="39"/>
      <c r="Q22" s="39"/>
      <c r="R22" s="39"/>
      <c r="S22" s="39"/>
      <c r="T22" s="150"/>
      <c r="U22" s="39"/>
      <c r="V22" s="39"/>
      <c r="W22" s="52"/>
      <c r="X22" s="39"/>
      <c r="Y22" s="39"/>
      <c r="Z22" s="39"/>
      <c r="AA22" s="39"/>
      <c r="AB22" s="149">
        <v>29996000</v>
      </c>
      <c r="AC22" s="149"/>
      <c r="AD22" s="149"/>
      <c r="AE22" s="39"/>
      <c r="AF22" s="39"/>
      <c r="AG22" s="148">
        <f t="shared" si="2"/>
        <v>29996000</v>
      </c>
      <c r="AH22" s="148"/>
      <c r="AI22" s="148">
        <f t="shared" si="3"/>
        <v>29996000</v>
      </c>
      <c r="AJ22" s="39"/>
      <c r="AK22" s="39"/>
      <c r="AL22" s="148">
        <f t="shared" si="5"/>
        <v>29996000</v>
      </c>
      <c r="AM22" s="38"/>
      <c r="AN22" s="56"/>
      <c r="AO22" s="56"/>
    </row>
    <row r="23" spans="1:41" s="57" customFormat="1" ht="13.9" customHeight="1">
      <c r="A23" s="9">
        <f t="shared" si="0"/>
        <v>19</v>
      </c>
      <c r="B23" s="36" t="s">
        <v>91</v>
      </c>
      <c r="C23" s="73" t="s">
        <v>90</v>
      </c>
      <c r="D23" s="68" t="s">
        <v>25</v>
      </c>
      <c r="E23" s="146" t="s">
        <v>47</v>
      </c>
      <c r="F23" s="146" t="s">
        <v>57</v>
      </c>
      <c r="G23" s="41"/>
      <c r="H23" s="39"/>
      <c r="I23" s="39"/>
      <c r="J23" s="39"/>
      <c r="K23" s="40"/>
      <c r="L23" s="147">
        <v>0</v>
      </c>
      <c r="M23" s="40"/>
      <c r="N23" s="40"/>
      <c r="O23" s="39"/>
      <c r="P23" s="39"/>
      <c r="Q23" s="39"/>
      <c r="R23" s="39"/>
      <c r="S23" s="39"/>
      <c r="T23" s="150"/>
      <c r="U23" s="152"/>
      <c r="V23" s="39"/>
      <c r="W23" s="52"/>
      <c r="X23" s="39"/>
      <c r="Y23" s="39"/>
      <c r="Z23" s="39"/>
      <c r="AA23" s="39"/>
      <c r="AB23" s="149">
        <v>5550000</v>
      </c>
      <c r="AC23" s="149"/>
      <c r="AD23" s="149"/>
      <c r="AE23" s="39"/>
      <c r="AF23" s="39"/>
      <c r="AG23" s="148">
        <f t="shared" si="2"/>
        <v>5550000</v>
      </c>
      <c r="AH23" s="148"/>
      <c r="AI23" s="148">
        <f t="shared" si="3"/>
        <v>5550000</v>
      </c>
      <c r="AJ23" s="39"/>
      <c r="AK23" s="39"/>
      <c r="AL23" s="148">
        <f t="shared" si="5"/>
        <v>5550000</v>
      </c>
      <c r="AM23" s="38"/>
      <c r="AN23" s="56"/>
      <c r="AO23" s="56"/>
    </row>
    <row r="24" spans="1:41" s="57" customFormat="1" ht="13.9" customHeight="1">
      <c r="A24" s="9">
        <f t="shared" si="0"/>
        <v>20</v>
      </c>
      <c r="B24" s="36" t="s">
        <v>107</v>
      </c>
      <c r="C24" s="73" t="s">
        <v>108</v>
      </c>
      <c r="D24" s="68" t="s">
        <v>25</v>
      </c>
      <c r="E24" s="146" t="s">
        <v>47</v>
      </c>
      <c r="F24" s="146" t="s">
        <v>57</v>
      </c>
      <c r="G24" s="41"/>
      <c r="H24" s="39"/>
      <c r="I24" s="39"/>
      <c r="J24" s="39"/>
      <c r="K24" s="40"/>
      <c r="L24" s="147"/>
      <c r="M24" s="40"/>
      <c r="N24" s="40"/>
      <c r="O24" s="39"/>
      <c r="P24" s="39"/>
      <c r="Q24" s="39"/>
      <c r="R24" s="39"/>
      <c r="S24" s="39"/>
      <c r="T24" s="150"/>
      <c r="U24" s="152"/>
      <c r="V24" s="39"/>
      <c r="W24" s="52"/>
      <c r="X24" s="39"/>
      <c r="Y24" s="39"/>
      <c r="Z24" s="39"/>
      <c r="AA24" s="39"/>
      <c r="AB24" s="39">
        <v>4725000</v>
      </c>
      <c r="AC24" s="149"/>
      <c r="AD24" s="149"/>
      <c r="AE24" s="39"/>
      <c r="AF24" s="39"/>
      <c r="AG24" s="148">
        <f>O24+P24+Q24+R24+S24+U24+W24+X24+Y24+Z24+AA24+AB24+AC24-AE24-AD24+AF24</f>
        <v>4725000</v>
      </c>
      <c r="AH24" s="148"/>
      <c r="AI24" s="148">
        <f t="shared" si="3"/>
        <v>4725000</v>
      </c>
      <c r="AJ24" s="39"/>
      <c r="AK24" s="39"/>
      <c r="AL24" s="148">
        <f t="shared" si="5"/>
        <v>4725000</v>
      </c>
      <c r="AM24" s="38"/>
      <c r="AN24" s="56"/>
      <c r="AO24" s="56"/>
    </row>
    <row r="25" spans="1:41" s="15" customFormat="1" ht="13.9" customHeight="1">
      <c r="A25" s="83" t="s">
        <v>21</v>
      </c>
      <c r="B25" s="83"/>
      <c r="C25" s="83"/>
      <c r="D25" s="83"/>
      <c r="E25" s="83"/>
      <c r="F25" s="83"/>
      <c r="G25" s="19"/>
      <c r="H25" s="20">
        <f>SUBTOTAL(9,H5:H24)</f>
        <v>31450000</v>
      </c>
      <c r="I25" s="20">
        <f>SUBTOTAL(9,I5:I24)</f>
        <v>197200000</v>
      </c>
      <c r="J25" s="20">
        <f>SUBTOTAL(9,J5:J24)</f>
        <v>0</v>
      </c>
      <c r="K25" s="20">
        <f>SUBTOTAL(9,K5:K24)</f>
        <v>0</v>
      </c>
      <c r="L25" s="20">
        <f>SUBTOTAL(9,L5:L24)</f>
        <v>227.55416249999999</v>
      </c>
      <c r="M25" s="20">
        <f>SUBTOTAL(9,M5:M24)</f>
        <v>9.1875</v>
      </c>
      <c r="N25" s="20">
        <f>SUBTOTAL(9,N5:N24)</f>
        <v>142.9749875</v>
      </c>
      <c r="O25" s="71">
        <f>SUBTOTAL(9,O5:O24)</f>
        <v>217732393.75</v>
      </c>
      <c r="P25" s="20">
        <f>SUBTOTAL(9,P5:P24)</f>
        <v>0</v>
      </c>
      <c r="Q25" s="20">
        <f>SUBTOTAL(9,Q5:Q24)</f>
        <v>0</v>
      </c>
      <c r="R25" s="20">
        <f>SUBTOTAL(9,R5:R24)</f>
        <v>0</v>
      </c>
      <c r="S25" s="20">
        <f>SUBTOTAL(9,S5:S24)</f>
        <v>0</v>
      </c>
      <c r="T25" s="20">
        <f>SUBTOTAL(9,T5:T24)</f>
        <v>0</v>
      </c>
      <c r="U25" s="20">
        <f>SUBTOTAL(9,U5:U24)</f>
        <v>0</v>
      </c>
      <c r="V25" s="20">
        <f>SUBTOTAL(9,V5:V24)</f>
        <v>104037605.89064673</v>
      </c>
      <c r="W25" s="20">
        <f>SUBTOTAL(9,W5:W24)</f>
        <v>0</v>
      </c>
      <c r="X25" s="20">
        <f>SUBTOTAL(9,X5:X24)</f>
        <v>0</v>
      </c>
      <c r="Y25" s="20">
        <f>SUBTOTAL(9,Y5:Y24)</f>
        <v>0</v>
      </c>
      <c r="Z25" s="20">
        <f>SUBTOTAL(9,Z5:Z24)</f>
        <v>0</v>
      </c>
      <c r="AA25" s="20">
        <f>SUBTOTAL(9,AA5:AA24)</f>
        <v>0</v>
      </c>
      <c r="AB25" s="20">
        <f>SUBTOTAL(9,AB5:AB24)</f>
        <v>116368000</v>
      </c>
      <c r="AC25" s="20">
        <f>SUBTOTAL(9,AC5:AC24)</f>
        <v>0</v>
      </c>
      <c r="AD25" s="20"/>
      <c r="AE25" s="20">
        <f>SUBTOTAL(9,AE5:AE24)</f>
        <v>0</v>
      </c>
      <c r="AF25" s="20">
        <f>SUM(AF5:AF24)</f>
        <v>0</v>
      </c>
      <c r="AG25" s="20">
        <f>SUM(AG5:AG24)</f>
        <v>438068813.64064676</v>
      </c>
      <c r="AH25" s="20">
        <f>SUM(AH5:AH24)</f>
        <v>73280000</v>
      </c>
      <c r="AI25" s="20">
        <f>SUM(AI5:AI24)</f>
        <v>364788813.6406467</v>
      </c>
      <c r="AJ25" s="20">
        <f>SUM(AJ5:AJ24)</f>
        <v>64000000</v>
      </c>
      <c r="AK25" s="20">
        <f>SUM(AK5:AK24)</f>
        <v>20480000</v>
      </c>
      <c r="AL25" s="20">
        <f>SUM(AL5:AL24)</f>
        <v>458548813.64064676</v>
      </c>
      <c r="AM25" s="21"/>
      <c r="AN25" s="37"/>
    </row>
    <row r="26" spans="1:41" s="31" customFormat="1" ht="15" customHeight="1">
      <c r="A26" s="22"/>
      <c r="B26" s="153"/>
      <c r="C26" s="8"/>
      <c r="D26" s="34"/>
      <c r="E26" s="154"/>
      <c r="F26" s="155"/>
      <c r="G26" s="23"/>
      <c r="H26" s="24"/>
      <c r="I26" s="24"/>
      <c r="J26" s="24"/>
      <c r="K26" s="25"/>
      <c r="L26" s="26"/>
      <c r="M26" s="26"/>
      <c r="N26" s="26"/>
      <c r="O26" s="72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7"/>
      <c r="AF26" s="27"/>
      <c r="AG26" s="28"/>
      <c r="AH26" s="28"/>
      <c r="AI26" s="65"/>
      <c r="AJ26" s="27"/>
      <c r="AK26" s="65"/>
      <c r="AL26" s="29"/>
      <c r="AM26" s="30"/>
      <c r="AN26" s="37"/>
    </row>
    <row r="27" spans="1:41" s="27" customFormat="1" ht="12.75" customHeight="1">
      <c r="A27" s="22"/>
      <c r="B27" s="153"/>
      <c r="C27" s="8"/>
      <c r="D27" s="34"/>
      <c r="E27" s="154"/>
      <c r="F27" s="155"/>
      <c r="G27" s="23"/>
      <c r="H27" s="24"/>
      <c r="I27" s="24"/>
      <c r="J27" s="24"/>
      <c r="K27" s="25"/>
      <c r="L27" s="26"/>
      <c r="M27" s="26"/>
      <c r="N27" s="26"/>
      <c r="O27" s="72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G27" s="28"/>
      <c r="AH27" s="28"/>
      <c r="AI27" s="65"/>
      <c r="AK27" s="65"/>
      <c r="AL27" s="28"/>
      <c r="AM27" s="32"/>
    </row>
    <row r="28" spans="1:41" s="27" customFormat="1" ht="12.75" customHeight="1">
      <c r="A28" s="22"/>
      <c r="B28" s="153"/>
      <c r="C28" s="8"/>
      <c r="D28" s="34"/>
      <c r="E28" s="154"/>
      <c r="F28" s="155"/>
      <c r="G28" s="23"/>
      <c r="H28" s="24"/>
      <c r="I28" s="24"/>
      <c r="J28" s="24"/>
      <c r="K28" s="25"/>
      <c r="L28" s="26"/>
      <c r="M28" s="26"/>
      <c r="N28" s="26"/>
      <c r="O28" s="72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G28" s="28"/>
      <c r="AH28" s="28"/>
      <c r="AI28" s="65"/>
      <c r="AK28" s="65"/>
      <c r="AL28" s="28"/>
      <c r="AM28" s="32"/>
    </row>
    <row r="29" spans="1:41" s="27" customFormat="1" ht="12.75" customHeight="1">
      <c r="A29" s="22"/>
      <c r="B29" s="153"/>
      <c r="C29" s="8"/>
      <c r="D29" s="34"/>
      <c r="E29" s="154"/>
      <c r="F29" s="155"/>
      <c r="G29" s="23"/>
      <c r="H29" s="24"/>
      <c r="I29" s="24"/>
      <c r="J29" s="24"/>
      <c r="K29" s="25"/>
      <c r="L29" s="26"/>
      <c r="M29" s="26"/>
      <c r="N29" s="26"/>
      <c r="O29" s="72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G29" s="28"/>
      <c r="AH29" s="28"/>
      <c r="AI29" s="65"/>
      <c r="AK29" s="65"/>
      <c r="AL29" s="28"/>
      <c r="AM29" s="32"/>
    </row>
    <row r="30" spans="1:41" s="27" customFormat="1" ht="12.75" customHeight="1">
      <c r="A30" s="22"/>
      <c r="B30" s="153"/>
      <c r="C30" s="8"/>
      <c r="D30" s="34"/>
      <c r="E30" s="154"/>
      <c r="F30" s="155"/>
      <c r="G30" s="23"/>
      <c r="H30" s="24"/>
      <c r="I30" s="24"/>
      <c r="J30" s="24"/>
      <c r="K30" s="25"/>
      <c r="L30" s="26"/>
      <c r="M30" s="26"/>
      <c r="N30" s="26"/>
      <c r="O30" s="72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G30" s="28"/>
      <c r="AH30" s="28"/>
      <c r="AI30" s="65"/>
      <c r="AK30" s="65"/>
      <c r="AL30" s="28"/>
      <c r="AM30" s="32"/>
    </row>
    <row r="31" spans="1:41" s="27" customFormat="1" ht="12.75" customHeight="1">
      <c r="A31" s="22"/>
      <c r="B31" s="153"/>
      <c r="C31" s="8"/>
      <c r="D31" s="34"/>
      <c r="E31" s="154"/>
      <c r="F31" s="155"/>
      <c r="G31" s="23"/>
      <c r="H31" s="24"/>
      <c r="I31" s="24"/>
      <c r="J31" s="24"/>
      <c r="K31" s="25"/>
      <c r="L31" s="26"/>
      <c r="M31" s="26"/>
      <c r="N31" s="26"/>
      <c r="O31" s="72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G31" s="28"/>
      <c r="AH31" s="28"/>
      <c r="AI31" s="65"/>
      <c r="AK31" s="65"/>
      <c r="AL31" s="28"/>
      <c r="AM31" s="32"/>
    </row>
    <row r="32" spans="1:41" s="27" customFormat="1" ht="12.75" customHeight="1">
      <c r="A32" s="22"/>
      <c r="B32" s="153"/>
      <c r="C32" s="8"/>
      <c r="D32" s="34"/>
      <c r="E32" s="154"/>
      <c r="F32" s="155"/>
      <c r="G32" s="23"/>
      <c r="H32" s="24"/>
      <c r="I32" s="24"/>
      <c r="J32" s="24"/>
      <c r="K32" s="25"/>
      <c r="L32" s="26"/>
      <c r="M32" s="26"/>
      <c r="N32" s="26"/>
      <c r="O32" s="72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G32" s="28"/>
      <c r="AH32" s="28"/>
      <c r="AI32" s="65"/>
      <c r="AK32" s="65"/>
      <c r="AL32" s="28"/>
      <c r="AM32" s="32"/>
    </row>
    <row r="33" spans="1:39" s="27" customFormat="1" ht="12.75" customHeight="1">
      <c r="A33" s="22"/>
      <c r="B33" s="153"/>
      <c r="C33" s="8"/>
      <c r="D33" s="34"/>
      <c r="E33" s="154"/>
      <c r="F33" s="155"/>
      <c r="G33" s="23"/>
      <c r="H33" s="24"/>
      <c r="I33" s="24"/>
      <c r="J33" s="24"/>
      <c r="K33" s="25"/>
      <c r="L33" s="26"/>
      <c r="M33" s="26"/>
      <c r="N33" s="26"/>
      <c r="O33" s="72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G33" s="28"/>
      <c r="AH33" s="28"/>
      <c r="AI33" s="65"/>
      <c r="AK33" s="65"/>
      <c r="AL33" s="28"/>
      <c r="AM33" s="32"/>
    </row>
    <row r="34" spans="1:39" s="27" customFormat="1" ht="12.75" customHeight="1">
      <c r="A34" s="22"/>
      <c r="B34" s="153"/>
      <c r="C34" s="8"/>
      <c r="D34" s="34"/>
      <c r="E34" s="154"/>
      <c r="F34" s="155"/>
      <c r="G34" s="23"/>
      <c r="H34" s="24"/>
      <c r="I34" s="24"/>
      <c r="J34" s="24"/>
      <c r="K34" s="25"/>
      <c r="L34" s="26"/>
      <c r="M34" s="26"/>
      <c r="N34" s="26"/>
      <c r="O34" s="72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G34" s="28"/>
      <c r="AH34" s="28"/>
      <c r="AI34" s="65"/>
      <c r="AK34" s="65"/>
      <c r="AL34" s="28"/>
      <c r="AM34" s="32"/>
    </row>
    <row r="35" spans="1:39" s="27" customFormat="1" ht="12.75" customHeight="1">
      <c r="A35" s="22"/>
      <c r="B35" s="153"/>
      <c r="C35" s="8"/>
      <c r="D35" s="34"/>
      <c r="E35" s="154"/>
      <c r="F35" s="155"/>
      <c r="G35" s="23"/>
      <c r="H35" s="24"/>
      <c r="I35" s="24"/>
      <c r="J35" s="24"/>
      <c r="K35" s="25"/>
      <c r="L35" s="26"/>
      <c r="M35" s="26"/>
      <c r="N35" s="26"/>
      <c r="O35" s="72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G35" s="28"/>
      <c r="AH35" s="28"/>
      <c r="AI35" s="65"/>
      <c r="AK35" s="65"/>
      <c r="AL35" s="28"/>
      <c r="AM35" s="32"/>
    </row>
    <row r="36" spans="1:39" s="27" customFormat="1" ht="12.75" customHeight="1">
      <c r="A36" s="22"/>
      <c r="B36" s="153"/>
      <c r="C36" s="8"/>
      <c r="D36" s="34"/>
      <c r="E36" s="154"/>
      <c r="F36" s="155"/>
      <c r="G36" s="23"/>
      <c r="H36" s="24"/>
      <c r="I36" s="24"/>
      <c r="J36" s="24"/>
      <c r="K36" s="25"/>
      <c r="L36" s="26"/>
      <c r="M36" s="26"/>
      <c r="N36" s="26"/>
      <c r="O36" s="72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G36" s="28"/>
      <c r="AH36" s="28"/>
      <c r="AI36" s="65"/>
      <c r="AK36" s="65"/>
      <c r="AL36" s="28"/>
      <c r="AM36" s="32"/>
    </row>
    <row r="37" spans="1:39" s="27" customFormat="1" ht="12.75" customHeight="1">
      <c r="A37" s="22"/>
      <c r="B37" s="153"/>
      <c r="C37" s="8"/>
      <c r="D37" s="34"/>
      <c r="E37" s="154"/>
      <c r="F37" s="155"/>
      <c r="G37" s="23"/>
      <c r="H37" s="24"/>
      <c r="I37" s="24"/>
      <c r="J37" s="24"/>
      <c r="K37" s="25"/>
      <c r="L37" s="26"/>
      <c r="M37" s="26"/>
      <c r="N37" s="26"/>
      <c r="O37" s="72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G37" s="28"/>
      <c r="AH37" s="28"/>
      <c r="AI37" s="65"/>
      <c r="AK37" s="65"/>
      <c r="AL37" s="28"/>
      <c r="AM37" s="32"/>
    </row>
    <row r="38" spans="1:39" s="27" customFormat="1" ht="12.75" customHeight="1">
      <c r="A38" s="22"/>
      <c r="B38" s="153"/>
      <c r="C38" s="8"/>
      <c r="D38" s="34"/>
      <c r="E38" s="154"/>
      <c r="F38" s="155"/>
      <c r="G38" s="23"/>
      <c r="H38" s="24"/>
      <c r="I38" s="24"/>
      <c r="J38" s="24"/>
      <c r="K38" s="25"/>
      <c r="L38" s="26"/>
      <c r="M38" s="26"/>
      <c r="N38" s="26"/>
      <c r="O38" s="72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G38" s="28"/>
      <c r="AH38" s="28"/>
      <c r="AI38" s="65"/>
      <c r="AK38" s="65"/>
      <c r="AL38" s="28"/>
      <c r="AM38" s="32"/>
    </row>
    <row r="39" spans="1:39" s="27" customFormat="1" ht="12.75" customHeight="1">
      <c r="A39" s="22"/>
      <c r="B39" s="153"/>
      <c r="C39" s="8"/>
      <c r="D39" s="34"/>
      <c r="E39" s="154"/>
      <c r="F39" s="155"/>
      <c r="G39" s="23"/>
      <c r="H39" s="24"/>
      <c r="I39" s="24"/>
      <c r="J39" s="24"/>
      <c r="K39" s="25"/>
      <c r="L39" s="26"/>
      <c r="M39" s="26"/>
      <c r="N39" s="26"/>
      <c r="O39" s="72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G39" s="28"/>
      <c r="AH39" s="28"/>
      <c r="AI39" s="65"/>
      <c r="AK39" s="65"/>
      <c r="AL39" s="28"/>
      <c r="AM39" s="32"/>
    </row>
    <row r="40" spans="1:39" s="27" customFormat="1" ht="12.75" customHeight="1">
      <c r="A40" s="22"/>
      <c r="B40" s="153"/>
      <c r="C40" s="8"/>
      <c r="D40" s="34"/>
      <c r="E40" s="154"/>
      <c r="F40" s="155"/>
      <c r="G40" s="23"/>
      <c r="H40" s="24"/>
      <c r="I40" s="24"/>
      <c r="J40" s="24"/>
      <c r="K40" s="25"/>
      <c r="L40" s="26"/>
      <c r="M40" s="26"/>
      <c r="N40" s="26"/>
      <c r="O40" s="72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G40" s="28"/>
      <c r="AH40" s="28"/>
      <c r="AI40" s="65"/>
      <c r="AK40" s="65"/>
      <c r="AL40" s="28"/>
      <c r="AM40" s="32"/>
    </row>
    <row r="41" spans="1:39" s="27" customFormat="1" ht="12.75" customHeight="1">
      <c r="A41" s="22"/>
      <c r="B41" s="153"/>
      <c r="C41" s="8"/>
      <c r="D41" s="34"/>
      <c r="E41" s="154"/>
      <c r="F41" s="155"/>
      <c r="G41" s="23"/>
      <c r="H41" s="24"/>
      <c r="I41" s="24"/>
      <c r="J41" s="24"/>
      <c r="K41" s="25"/>
      <c r="L41" s="26"/>
      <c r="M41" s="26"/>
      <c r="N41" s="26"/>
      <c r="O41" s="72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G41" s="28"/>
      <c r="AH41" s="28"/>
      <c r="AI41" s="65"/>
      <c r="AK41" s="65"/>
      <c r="AL41" s="28"/>
      <c r="AM41" s="32"/>
    </row>
    <row r="42" spans="1:39" s="27" customFormat="1" ht="12.75" customHeight="1">
      <c r="A42" s="22"/>
      <c r="B42" s="153"/>
      <c r="C42" s="8"/>
      <c r="D42" s="34"/>
      <c r="E42" s="154"/>
      <c r="F42" s="155"/>
      <c r="G42" s="23"/>
      <c r="H42" s="24"/>
      <c r="I42" s="24"/>
      <c r="J42" s="24"/>
      <c r="K42" s="25"/>
      <c r="L42" s="26"/>
      <c r="M42" s="26"/>
      <c r="N42" s="26"/>
      <c r="O42" s="72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G42" s="28"/>
      <c r="AH42" s="28"/>
      <c r="AI42" s="65"/>
      <c r="AK42" s="65"/>
      <c r="AL42" s="28"/>
      <c r="AM42" s="32"/>
    </row>
    <row r="43" spans="1:39" s="27" customFormat="1" ht="12.75" customHeight="1">
      <c r="A43" s="22"/>
      <c r="B43" s="153"/>
      <c r="C43" s="8"/>
      <c r="D43" s="34"/>
      <c r="E43" s="154"/>
      <c r="F43" s="155"/>
      <c r="G43" s="23"/>
      <c r="H43" s="24"/>
      <c r="I43" s="24"/>
      <c r="J43" s="24"/>
      <c r="K43" s="25"/>
      <c r="L43" s="26"/>
      <c r="M43" s="26"/>
      <c r="N43" s="26"/>
      <c r="O43" s="72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G43" s="28"/>
      <c r="AH43" s="28"/>
      <c r="AI43" s="65"/>
      <c r="AK43" s="65"/>
      <c r="AL43" s="28"/>
      <c r="AM43" s="32"/>
    </row>
    <row r="44" spans="1:39" s="27" customFormat="1" ht="12.75" customHeight="1">
      <c r="A44" s="22"/>
      <c r="B44" s="153"/>
      <c r="C44" s="8"/>
      <c r="D44" s="34"/>
      <c r="E44" s="154"/>
      <c r="F44" s="155"/>
      <c r="G44" s="23"/>
      <c r="H44" s="24"/>
      <c r="I44" s="24"/>
      <c r="J44" s="24"/>
      <c r="K44" s="25"/>
      <c r="L44" s="26"/>
      <c r="M44" s="26"/>
      <c r="N44" s="26"/>
      <c r="O44" s="72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G44" s="28"/>
      <c r="AH44" s="28"/>
      <c r="AI44" s="65"/>
      <c r="AK44" s="65"/>
      <c r="AL44" s="28"/>
      <c r="AM44" s="32"/>
    </row>
    <row r="45" spans="1:39" s="27" customFormat="1" ht="12.75" customHeight="1">
      <c r="A45" s="22"/>
      <c r="B45" s="153"/>
      <c r="C45" s="8"/>
      <c r="D45" s="34"/>
      <c r="E45" s="154"/>
      <c r="F45" s="155"/>
      <c r="G45" s="23"/>
      <c r="H45" s="24"/>
      <c r="I45" s="24"/>
      <c r="J45" s="24"/>
      <c r="K45" s="25"/>
      <c r="L45" s="26"/>
      <c r="M45" s="26"/>
      <c r="N45" s="26"/>
      <c r="O45" s="72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G45" s="28"/>
      <c r="AH45" s="28"/>
      <c r="AI45" s="65"/>
      <c r="AK45" s="65"/>
      <c r="AL45" s="28"/>
      <c r="AM45" s="32"/>
    </row>
    <row r="46" spans="1:39" s="27" customFormat="1" ht="12.75" customHeight="1">
      <c r="A46" s="22"/>
      <c r="B46" s="153"/>
      <c r="C46" s="8"/>
      <c r="D46" s="34"/>
      <c r="E46" s="154"/>
      <c r="F46" s="155"/>
      <c r="G46" s="23"/>
      <c r="H46" s="24"/>
      <c r="I46" s="24"/>
      <c r="J46" s="24"/>
      <c r="K46" s="25"/>
      <c r="L46" s="26"/>
      <c r="M46" s="26"/>
      <c r="N46" s="26"/>
      <c r="O46" s="72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G46" s="28"/>
      <c r="AH46" s="28"/>
      <c r="AI46" s="65"/>
      <c r="AK46" s="65"/>
      <c r="AL46" s="28"/>
      <c r="AM46" s="32"/>
    </row>
    <row r="47" spans="1:39" s="27" customFormat="1" ht="12.75" customHeight="1">
      <c r="A47" s="22"/>
      <c r="B47" s="153"/>
      <c r="C47" s="8"/>
      <c r="D47" s="34"/>
      <c r="E47" s="154"/>
      <c r="F47" s="155"/>
      <c r="G47" s="23"/>
      <c r="H47" s="24"/>
      <c r="I47" s="24"/>
      <c r="J47" s="24"/>
      <c r="K47" s="25"/>
      <c r="L47" s="26"/>
      <c r="M47" s="26"/>
      <c r="N47" s="26"/>
      <c r="O47" s="72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G47" s="28"/>
      <c r="AH47" s="28"/>
      <c r="AI47" s="65"/>
      <c r="AK47" s="65"/>
      <c r="AL47" s="28"/>
      <c r="AM47" s="32"/>
    </row>
    <row r="48" spans="1:39" s="27" customFormat="1" ht="12.75" customHeight="1">
      <c r="A48" s="22"/>
      <c r="B48" s="153"/>
      <c r="C48" s="8"/>
      <c r="D48" s="34"/>
      <c r="E48" s="154"/>
      <c r="F48" s="155"/>
      <c r="G48" s="23"/>
      <c r="H48" s="24"/>
      <c r="I48" s="24"/>
      <c r="J48" s="24"/>
      <c r="K48" s="25"/>
      <c r="L48" s="26"/>
      <c r="M48" s="26"/>
      <c r="N48" s="26"/>
      <c r="O48" s="72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G48" s="28"/>
      <c r="AH48" s="28"/>
      <c r="AI48" s="65"/>
      <c r="AK48" s="65"/>
      <c r="AL48" s="28"/>
      <c r="AM48" s="32"/>
    </row>
    <row r="49" spans="1:39" s="27" customFormat="1" ht="12.75" customHeight="1">
      <c r="A49" s="22"/>
      <c r="B49" s="153"/>
      <c r="C49" s="8"/>
      <c r="D49" s="34"/>
      <c r="E49" s="154"/>
      <c r="F49" s="155"/>
      <c r="G49" s="23"/>
      <c r="H49" s="24"/>
      <c r="I49" s="24"/>
      <c r="J49" s="24"/>
      <c r="K49" s="25"/>
      <c r="L49" s="26"/>
      <c r="M49" s="26"/>
      <c r="N49" s="26"/>
      <c r="O49" s="72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G49" s="28"/>
      <c r="AH49" s="28"/>
      <c r="AI49" s="65"/>
      <c r="AK49" s="65"/>
      <c r="AL49" s="28"/>
      <c r="AM49" s="32"/>
    </row>
    <row r="50" spans="1:39" s="27" customFormat="1" ht="12.75" customHeight="1">
      <c r="A50" s="22"/>
      <c r="B50" s="153"/>
      <c r="C50" s="8"/>
      <c r="D50" s="34"/>
      <c r="E50" s="154"/>
      <c r="F50" s="155"/>
      <c r="G50" s="23"/>
      <c r="H50" s="24"/>
      <c r="I50" s="24"/>
      <c r="J50" s="24"/>
      <c r="K50" s="25"/>
      <c r="L50" s="26"/>
      <c r="M50" s="26"/>
      <c r="N50" s="26"/>
      <c r="O50" s="72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G50" s="28"/>
      <c r="AH50" s="28"/>
      <c r="AI50" s="65"/>
      <c r="AK50" s="65"/>
      <c r="AL50" s="28"/>
      <c r="AM50" s="32"/>
    </row>
    <row r="51" spans="1:39" s="27" customFormat="1" ht="12.75" customHeight="1">
      <c r="A51" s="22"/>
      <c r="B51" s="153"/>
      <c r="C51" s="8"/>
      <c r="D51" s="34"/>
      <c r="E51" s="154"/>
      <c r="F51" s="155"/>
      <c r="G51" s="23"/>
      <c r="H51" s="24"/>
      <c r="I51" s="24"/>
      <c r="J51" s="24"/>
      <c r="K51" s="25"/>
      <c r="L51" s="26"/>
      <c r="M51" s="26"/>
      <c r="N51" s="26"/>
      <c r="O51" s="72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G51" s="28"/>
      <c r="AH51" s="28"/>
      <c r="AI51" s="65"/>
      <c r="AK51" s="65"/>
      <c r="AL51" s="28"/>
      <c r="AM51" s="32"/>
    </row>
    <row r="52" spans="1:39" s="27" customFormat="1" ht="12.75" customHeight="1">
      <c r="A52" s="22"/>
      <c r="B52" s="153"/>
      <c r="C52" s="8"/>
      <c r="D52" s="34"/>
      <c r="E52" s="154"/>
      <c r="F52" s="155"/>
      <c r="G52" s="23"/>
      <c r="H52" s="24"/>
      <c r="I52" s="24"/>
      <c r="J52" s="24"/>
      <c r="K52" s="25"/>
      <c r="L52" s="26"/>
      <c r="M52" s="26"/>
      <c r="N52" s="26"/>
      <c r="O52" s="72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G52" s="28"/>
      <c r="AH52" s="28"/>
      <c r="AI52" s="65"/>
      <c r="AK52" s="65"/>
      <c r="AL52" s="28"/>
      <c r="AM52" s="32"/>
    </row>
    <row r="53" spans="1:39" s="27" customFormat="1" ht="12.75" customHeight="1">
      <c r="A53" s="22"/>
      <c r="B53" s="153"/>
      <c r="C53" s="8"/>
      <c r="D53" s="34"/>
      <c r="E53" s="154"/>
      <c r="F53" s="155"/>
      <c r="G53" s="23"/>
      <c r="H53" s="24"/>
      <c r="I53" s="24"/>
      <c r="J53" s="24"/>
      <c r="K53" s="25"/>
      <c r="L53" s="26"/>
      <c r="M53" s="26"/>
      <c r="N53" s="26"/>
      <c r="O53" s="72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G53" s="28"/>
      <c r="AH53" s="28"/>
      <c r="AI53" s="65"/>
      <c r="AK53" s="65"/>
      <c r="AL53" s="28"/>
      <c r="AM53" s="32"/>
    </row>
    <row r="54" spans="1:39" s="27" customFormat="1" ht="12.75" customHeight="1">
      <c r="A54" s="22"/>
      <c r="B54" s="153"/>
      <c r="C54" s="8"/>
      <c r="D54" s="34"/>
      <c r="E54" s="154"/>
      <c r="F54" s="155"/>
      <c r="G54" s="23"/>
      <c r="H54" s="24"/>
      <c r="I54" s="24"/>
      <c r="J54" s="24"/>
      <c r="K54" s="25"/>
      <c r="L54" s="26"/>
      <c r="M54" s="26"/>
      <c r="N54" s="26"/>
      <c r="O54" s="72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G54" s="28"/>
      <c r="AH54" s="28"/>
      <c r="AI54" s="65"/>
      <c r="AK54" s="65"/>
      <c r="AL54" s="28"/>
      <c r="AM54" s="32"/>
    </row>
    <row r="55" spans="1:39" s="27" customFormat="1" ht="12.75" customHeight="1">
      <c r="A55" s="22"/>
      <c r="B55" s="153"/>
      <c r="C55" s="8"/>
      <c r="D55" s="34"/>
      <c r="E55" s="154"/>
      <c r="F55" s="155"/>
      <c r="G55" s="23"/>
      <c r="H55" s="24"/>
      <c r="I55" s="24"/>
      <c r="J55" s="24"/>
      <c r="K55" s="25"/>
      <c r="L55" s="26"/>
      <c r="M55" s="26"/>
      <c r="N55" s="26"/>
      <c r="O55" s="72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G55" s="28"/>
      <c r="AH55" s="28"/>
      <c r="AI55" s="65"/>
      <c r="AK55" s="65"/>
      <c r="AL55" s="28"/>
      <c r="AM55" s="32"/>
    </row>
    <row r="56" spans="1:39" s="27" customFormat="1" ht="12.75" customHeight="1">
      <c r="A56" s="22"/>
      <c r="B56" s="153"/>
      <c r="C56" s="8"/>
      <c r="D56" s="34"/>
      <c r="E56" s="154"/>
      <c r="F56" s="155"/>
      <c r="G56" s="23"/>
      <c r="H56" s="24"/>
      <c r="I56" s="24"/>
      <c r="J56" s="24"/>
      <c r="K56" s="25"/>
      <c r="L56" s="26"/>
      <c r="M56" s="26"/>
      <c r="N56" s="26"/>
      <c r="O56" s="72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G56" s="28"/>
      <c r="AH56" s="28"/>
      <c r="AI56" s="65"/>
      <c r="AK56" s="65"/>
      <c r="AL56" s="28"/>
      <c r="AM56" s="32"/>
    </row>
    <row r="57" spans="1:39" s="27" customFormat="1" ht="12.75" customHeight="1">
      <c r="A57" s="22"/>
      <c r="B57" s="153"/>
      <c r="C57" s="8"/>
      <c r="D57" s="34"/>
      <c r="E57" s="154"/>
      <c r="F57" s="155"/>
      <c r="G57" s="23"/>
      <c r="H57" s="24"/>
      <c r="I57" s="24"/>
      <c r="J57" s="24"/>
      <c r="K57" s="25"/>
      <c r="L57" s="26"/>
      <c r="M57" s="26"/>
      <c r="N57" s="26"/>
      <c r="O57" s="72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G57" s="28"/>
      <c r="AH57" s="28"/>
      <c r="AI57" s="65"/>
      <c r="AK57" s="65"/>
      <c r="AL57" s="28"/>
      <c r="AM57" s="32"/>
    </row>
    <row r="58" spans="1:39" s="27" customFormat="1" ht="12.75" customHeight="1">
      <c r="A58" s="22"/>
      <c r="B58" s="153"/>
      <c r="C58" s="8"/>
      <c r="D58" s="34"/>
      <c r="E58" s="154"/>
      <c r="F58" s="155"/>
      <c r="G58" s="23"/>
      <c r="H58" s="24"/>
      <c r="I58" s="24"/>
      <c r="J58" s="24"/>
      <c r="K58" s="25"/>
      <c r="L58" s="26"/>
      <c r="M58" s="26"/>
      <c r="N58" s="26"/>
      <c r="O58" s="72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G58" s="28"/>
      <c r="AH58" s="28"/>
      <c r="AI58" s="65"/>
      <c r="AK58" s="65"/>
      <c r="AL58" s="28"/>
      <c r="AM58" s="32"/>
    </row>
    <row r="59" spans="1:39" s="27" customFormat="1" ht="12.75" customHeight="1">
      <c r="A59" s="22"/>
      <c r="B59" s="153"/>
      <c r="C59" s="8"/>
      <c r="D59" s="34"/>
      <c r="E59" s="154"/>
      <c r="F59" s="155"/>
      <c r="G59" s="23"/>
      <c r="H59" s="24"/>
      <c r="I59" s="24"/>
      <c r="J59" s="24"/>
      <c r="K59" s="25"/>
      <c r="L59" s="26"/>
      <c r="M59" s="26"/>
      <c r="N59" s="26"/>
      <c r="O59" s="72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G59" s="28"/>
      <c r="AH59" s="28"/>
      <c r="AI59" s="65"/>
      <c r="AK59" s="65"/>
      <c r="AL59" s="28"/>
      <c r="AM59" s="32"/>
    </row>
    <row r="60" spans="1:39" s="27" customFormat="1" ht="12.75" customHeight="1">
      <c r="A60" s="22"/>
      <c r="B60" s="153"/>
      <c r="C60" s="8"/>
      <c r="D60" s="34"/>
      <c r="E60" s="154"/>
      <c r="F60" s="155"/>
      <c r="G60" s="23"/>
      <c r="H60" s="24"/>
      <c r="I60" s="24"/>
      <c r="J60" s="24"/>
      <c r="K60" s="25"/>
      <c r="L60" s="26"/>
      <c r="M60" s="26"/>
      <c r="N60" s="26"/>
      <c r="O60" s="72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G60" s="28"/>
      <c r="AH60" s="28"/>
      <c r="AI60" s="65"/>
      <c r="AK60" s="65"/>
      <c r="AL60" s="28"/>
      <c r="AM60" s="32"/>
    </row>
    <row r="61" spans="1:39" s="27" customFormat="1" ht="12.75" customHeight="1">
      <c r="A61" s="22"/>
      <c r="B61" s="153"/>
      <c r="C61" s="8"/>
      <c r="D61" s="34"/>
      <c r="E61" s="154"/>
      <c r="F61" s="155"/>
      <c r="G61" s="23"/>
      <c r="H61" s="24"/>
      <c r="I61" s="24"/>
      <c r="J61" s="24"/>
      <c r="K61" s="25"/>
      <c r="L61" s="26"/>
      <c r="M61" s="26"/>
      <c r="N61" s="26"/>
      <c r="O61" s="72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G61" s="28"/>
      <c r="AH61" s="28"/>
      <c r="AI61" s="65"/>
      <c r="AK61" s="65"/>
      <c r="AL61" s="28"/>
      <c r="AM61" s="32"/>
    </row>
    <row r="62" spans="1:39" s="27" customFormat="1" ht="12.75" customHeight="1">
      <c r="A62" s="22"/>
      <c r="B62" s="153"/>
      <c r="C62" s="8"/>
      <c r="D62" s="34"/>
      <c r="E62" s="154"/>
      <c r="F62" s="155"/>
      <c r="G62" s="23"/>
      <c r="H62" s="24"/>
      <c r="I62" s="24"/>
      <c r="J62" s="24"/>
      <c r="K62" s="25"/>
      <c r="L62" s="26"/>
      <c r="M62" s="26"/>
      <c r="N62" s="26"/>
      <c r="O62" s="72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G62" s="28"/>
      <c r="AH62" s="28"/>
      <c r="AI62" s="65"/>
      <c r="AK62" s="65"/>
      <c r="AL62" s="28"/>
      <c r="AM62" s="32"/>
    </row>
    <row r="63" spans="1:39" s="27" customFormat="1" ht="12.75" customHeight="1">
      <c r="A63" s="22"/>
      <c r="B63" s="153"/>
      <c r="C63" s="8"/>
      <c r="D63" s="34"/>
      <c r="E63" s="154"/>
      <c r="F63" s="155"/>
      <c r="G63" s="23"/>
      <c r="H63" s="24"/>
      <c r="I63" s="24"/>
      <c r="J63" s="24"/>
      <c r="K63" s="25"/>
      <c r="L63" s="26"/>
      <c r="M63" s="26"/>
      <c r="N63" s="26"/>
      <c r="O63" s="72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G63" s="28"/>
      <c r="AH63" s="28"/>
      <c r="AI63" s="65"/>
      <c r="AK63" s="65"/>
      <c r="AL63" s="28"/>
      <c r="AM63" s="32"/>
    </row>
    <row r="64" spans="1:39" s="27" customFormat="1" ht="12.75" customHeight="1">
      <c r="A64" s="22"/>
      <c r="B64" s="153"/>
      <c r="C64" s="8"/>
      <c r="D64" s="34"/>
      <c r="E64" s="154"/>
      <c r="F64" s="155"/>
      <c r="G64" s="23"/>
      <c r="H64" s="24"/>
      <c r="I64" s="24"/>
      <c r="J64" s="24"/>
      <c r="K64" s="25"/>
      <c r="L64" s="26"/>
      <c r="M64" s="26"/>
      <c r="N64" s="26"/>
      <c r="O64" s="72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G64" s="28"/>
      <c r="AH64" s="28"/>
      <c r="AI64" s="65"/>
      <c r="AK64" s="65"/>
      <c r="AL64" s="28"/>
      <c r="AM64" s="32"/>
    </row>
    <row r="65" spans="1:39" s="27" customFormat="1" ht="12.75" customHeight="1">
      <c r="A65" s="22"/>
      <c r="B65" s="153"/>
      <c r="C65" s="8"/>
      <c r="D65" s="34"/>
      <c r="E65" s="154"/>
      <c r="F65" s="155"/>
      <c r="G65" s="23"/>
      <c r="H65" s="24"/>
      <c r="I65" s="24"/>
      <c r="J65" s="24"/>
      <c r="K65" s="25"/>
      <c r="L65" s="26"/>
      <c r="M65" s="26"/>
      <c r="N65" s="26"/>
      <c r="O65" s="72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G65" s="28"/>
      <c r="AH65" s="28"/>
      <c r="AI65" s="65"/>
      <c r="AK65" s="65"/>
      <c r="AL65" s="28"/>
      <c r="AM65" s="32"/>
    </row>
    <row r="66" spans="1:39" s="27" customFormat="1" ht="12.75" customHeight="1">
      <c r="A66" s="22"/>
      <c r="B66" s="153"/>
      <c r="C66" s="8"/>
      <c r="D66" s="34"/>
      <c r="E66" s="154"/>
      <c r="F66" s="155"/>
      <c r="G66" s="23"/>
      <c r="H66" s="24"/>
      <c r="I66" s="24"/>
      <c r="J66" s="24"/>
      <c r="K66" s="25"/>
      <c r="L66" s="26"/>
      <c r="M66" s="26"/>
      <c r="N66" s="26"/>
      <c r="O66" s="72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G66" s="28"/>
      <c r="AH66" s="28"/>
      <c r="AI66" s="65"/>
      <c r="AK66" s="65"/>
      <c r="AL66" s="28"/>
      <c r="AM66" s="32"/>
    </row>
    <row r="67" spans="1:39" s="27" customFormat="1" ht="12.75" customHeight="1">
      <c r="A67" s="22"/>
      <c r="B67" s="153"/>
      <c r="C67" s="8"/>
      <c r="D67" s="34"/>
      <c r="E67" s="154"/>
      <c r="F67" s="155"/>
      <c r="G67" s="23"/>
      <c r="H67" s="24"/>
      <c r="I67" s="24"/>
      <c r="J67" s="24"/>
      <c r="K67" s="25"/>
      <c r="L67" s="26"/>
      <c r="M67" s="26"/>
      <c r="N67" s="26"/>
      <c r="O67" s="72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G67" s="28"/>
      <c r="AH67" s="28"/>
      <c r="AI67" s="65"/>
      <c r="AK67" s="65"/>
      <c r="AL67" s="28"/>
      <c r="AM67" s="32"/>
    </row>
    <row r="68" spans="1:39" s="27" customFormat="1" ht="12.75" customHeight="1">
      <c r="A68" s="22"/>
      <c r="B68" s="153"/>
      <c r="C68" s="8"/>
      <c r="D68" s="34"/>
      <c r="E68" s="154"/>
      <c r="F68" s="155"/>
      <c r="G68" s="23"/>
      <c r="H68" s="24"/>
      <c r="I68" s="24"/>
      <c r="J68" s="24"/>
      <c r="K68" s="25"/>
      <c r="L68" s="26"/>
      <c r="M68" s="26"/>
      <c r="N68" s="26"/>
      <c r="O68" s="72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G68" s="28"/>
      <c r="AH68" s="28"/>
      <c r="AI68" s="65"/>
      <c r="AK68" s="65"/>
      <c r="AL68" s="28"/>
      <c r="AM68" s="32"/>
    </row>
    <row r="69" spans="1:39" s="27" customFormat="1" ht="12.75" customHeight="1">
      <c r="A69" s="22"/>
      <c r="B69" s="153"/>
      <c r="C69" s="8"/>
      <c r="D69" s="34"/>
      <c r="E69" s="154"/>
      <c r="F69" s="155"/>
      <c r="G69" s="23"/>
      <c r="H69" s="24"/>
      <c r="I69" s="24"/>
      <c r="J69" s="24"/>
      <c r="K69" s="25"/>
      <c r="L69" s="26"/>
      <c r="M69" s="26"/>
      <c r="N69" s="26"/>
      <c r="O69" s="72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G69" s="28"/>
      <c r="AH69" s="28"/>
      <c r="AI69" s="65"/>
      <c r="AK69" s="65"/>
      <c r="AL69" s="28"/>
      <c r="AM69" s="32"/>
    </row>
    <row r="70" spans="1:39" s="27" customFormat="1" ht="12.75" customHeight="1">
      <c r="A70" s="22"/>
      <c r="B70" s="153"/>
      <c r="C70" s="8"/>
      <c r="D70" s="34"/>
      <c r="E70" s="154"/>
      <c r="F70" s="155"/>
      <c r="G70" s="23"/>
      <c r="H70" s="24"/>
      <c r="I70" s="24"/>
      <c r="J70" s="24"/>
      <c r="K70" s="25"/>
      <c r="L70" s="26"/>
      <c r="M70" s="26"/>
      <c r="N70" s="26"/>
      <c r="O70" s="72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G70" s="28"/>
      <c r="AH70" s="28"/>
      <c r="AI70" s="65"/>
      <c r="AK70" s="65"/>
      <c r="AL70" s="28"/>
      <c r="AM70" s="32"/>
    </row>
    <row r="71" spans="1:39" s="27" customFormat="1" ht="12.75" customHeight="1">
      <c r="A71" s="22"/>
      <c r="B71" s="153"/>
      <c r="C71" s="8"/>
      <c r="D71" s="34"/>
      <c r="E71" s="154"/>
      <c r="F71" s="155"/>
      <c r="G71" s="23"/>
      <c r="H71" s="24"/>
      <c r="I71" s="24"/>
      <c r="J71" s="24"/>
      <c r="K71" s="25"/>
      <c r="L71" s="26"/>
      <c r="M71" s="26"/>
      <c r="N71" s="26"/>
      <c r="O71" s="72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G71" s="28"/>
      <c r="AH71" s="28"/>
      <c r="AI71" s="65"/>
      <c r="AK71" s="65"/>
      <c r="AL71" s="28"/>
      <c r="AM71" s="32"/>
    </row>
    <row r="72" spans="1:39" s="27" customFormat="1" ht="12.75" customHeight="1">
      <c r="A72" s="22"/>
      <c r="B72" s="153"/>
      <c r="C72" s="8"/>
      <c r="D72" s="34"/>
      <c r="E72" s="154"/>
      <c r="F72" s="155"/>
      <c r="G72" s="23"/>
      <c r="H72" s="24"/>
      <c r="I72" s="24"/>
      <c r="J72" s="24"/>
      <c r="K72" s="25"/>
      <c r="L72" s="26"/>
      <c r="M72" s="26"/>
      <c r="N72" s="26"/>
      <c r="O72" s="72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G72" s="28"/>
      <c r="AH72" s="28"/>
      <c r="AI72" s="65"/>
      <c r="AK72" s="65"/>
      <c r="AL72" s="28"/>
      <c r="AM72" s="32"/>
    </row>
    <row r="73" spans="1:39" s="27" customFormat="1" ht="12.75" customHeight="1">
      <c r="A73" s="22"/>
      <c r="B73" s="153"/>
      <c r="C73" s="8"/>
      <c r="D73" s="34"/>
      <c r="E73" s="154"/>
      <c r="F73" s="155"/>
      <c r="G73" s="23"/>
      <c r="H73" s="24"/>
      <c r="I73" s="24"/>
      <c r="J73" s="24"/>
      <c r="K73" s="25"/>
      <c r="L73" s="26"/>
      <c r="M73" s="26"/>
      <c r="N73" s="26"/>
      <c r="O73" s="72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G73" s="28"/>
      <c r="AH73" s="28"/>
      <c r="AI73" s="65"/>
      <c r="AK73" s="65"/>
      <c r="AL73" s="28"/>
      <c r="AM73" s="32"/>
    </row>
    <row r="74" spans="1:39" s="27" customFormat="1" ht="12.75" customHeight="1">
      <c r="A74" s="22"/>
      <c r="B74" s="153"/>
      <c r="C74" s="8"/>
      <c r="D74" s="34"/>
      <c r="E74" s="154"/>
      <c r="F74" s="155"/>
      <c r="G74" s="23"/>
      <c r="H74" s="24"/>
      <c r="I74" s="24"/>
      <c r="J74" s="24"/>
      <c r="K74" s="25"/>
      <c r="L74" s="26"/>
      <c r="M74" s="26"/>
      <c r="N74" s="26"/>
      <c r="O74" s="72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G74" s="28"/>
      <c r="AH74" s="28"/>
      <c r="AI74" s="65"/>
      <c r="AK74" s="65"/>
      <c r="AL74" s="28"/>
      <c r="AM74" s="32"/>
    </row>
    <row r="75" spans="1:39" s="27" customFormat="1" ht="12.75" customHeight="1">
      <c r="A75" s="22"/>
      <c r="B75" s="153"/>
      <c r="C75" s="8"/>
      <c r="D75" s="34"/>
      <c r="E75" s="154"/>
      <c r="F75" s="155"/>
      <c r="G75" s="23"/>
      <c r="H75" s="24"/>
      <c r="I75" s="24"/>
      <c r="J75" s="24"/>
      <c r="K75" s="25"/>
      <c r="L75" s="26"/>
      <c r="M75" s="26"/>
      <c r="N75" s="26"/>
      <c r="O75" s="72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G75" s="28"/>
      <c r="AH75" s="28"/>
      <c r="AI75" s="65"/>
      <c r="AK75" s="65"/>
      <c r="AL75" s="28"/>
      <c r="AM75" s="32"/>
    </row>
    <row r="76" spans="1:39" s="27" customFormat="1" ht="12.75" customHeight="1">
      <c r="A76" s="22"/>
      <c r="B76" s="153"/>
      <c r="C76" s="8"/>
      <c r="D76" s="34"/>
      <c r="E76" s="154"/>
      <c r="F76" s="155"/>
      <c r="G76" s="23"/>
      <c r="H76" s="24"/>
      <c r="I76" s="24"/>
      <c r="J76" s="24"/>
      <c r="K76" s="25"/>
      <c r="L76" s="26"/>
      <c r="M76" s="26"/>
      <c r="N76" s="26"/>
      <c r="O76" s="72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G76" s="28"/>
      <c r="AH76" s="28"/>
      <c r="AI76" s="65"/>
      <c r="AK76" s="65"/>
      <c r="AL76" s="28"/>
      <c r="AM76" s="32"/>
    </row>
    <row r="77" spans="1:39" s="27" customFormat="1" ht="12.75" customHeight="1">
      <c r="A77" s="22"/>
      <c r="B77" s="153"/>
      <c r="C77" s="8"/>
      <c r="D77" s="34"/>
      <c r="E77" s="154"/>
      <c r="F77" s="155"/>
      <c r="G77" s="23"/>
      <c r="H77" s="24"/>
      <c r="I77" s="24"/>
      <c r="J77" s="24"/>
      <c r="K77" s="25"/>
      <c r="L77" s="26"/>
      <c r="M77" s="26"/>
      <c r="N77" s="26"/>
      <c r="O77" s="72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G77" s="28"/>
      <c r="AH77" s="28"/>
      <c r="AI77" s="65"/>
      <c r="AK77" s="65"/>
      <c r="AL77" s="28"/>
      <c r="AM77" s="32"/>
    </row>
    <row r="78" spans="1:39" s="27" customFormat="1" ht="12.75" customHeight="1">
      <c r="A78" s="22"/>
      <c r="B78" s="153"/>
      <c r="C78" s="8"/>
      <c r="D78" s="34"/>
      <c r="E78" s="154"/>
      <c r="F78" s="155"/>
      <c r="G78" s="23"/>
      <c r="H78" s="24"/>
      <c r="I78" s="24"/>
      <c r="J78" s="24"/>
      <c r="K78" s="25"/>
      <c r="L78" s="26"/>
      <c r="M78" s="26"/>
      <c r="N78" s="26"/>
      <c r="O78" s="72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G78" s="28"/>
      <c r="AH78" s="28"/>
      <c r="AI78" s="65"/>
      <c r="AK78" s="65"/>
      <c r="AL78" s="28"/>
      <c r="AM78" s="32"/>
    </row>
    <row r="79" spans="1:39" s="27" customFormat="1" ht="12.75" customHeight="1">
      <c r="A79" s="22"/>
      <c r="B79" s="153"/>
      <c r="C79" s="8"/>
      <c r="D79" s="34"/>
      <c r="E79" s="154"/>
      <c r="F79" s="155"/>
      <c r="G79" s="23"/>
      <c r="H79" s="24"/>
      <c r="I79" s="24"/>
      <c r="J79" s="24"/>
      <c r="K79" s="25"/>
      <c r="L79" s="26"/>
      <c r="M79" s="26"/>
      <c r="N79" s="26"/>
      <c r="O79" s="72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G79" s="28"/>
      <c r="AH79" s="28"/>
      <c r="AI79" s="65"/>
      <c r="AK79" s="65"/>
      <c r="AL79" s="28"/>
      <c r="AM79" s="32"/>
    </row>
    <row r="80" spans="1:39" s="27" customFormat="1" ht="12.75" customHeight="1">
      <c r="A80" s="22"/>
      <c r="B80" s="153"/>
      <c r="C80" s="8"/>
      <c r="D80" s="34"/>
      <c r="E80" s="154"/>
      <c r="F80" s="155"/>
      <c r="G80" s="23"/>
      <c r="H80" s="24"/>
      <c r="I80" s="24"/>
      <c r="J80" s="24"/>
      <c r="K80" s="25"/>
      <c r="L80" s="26"/>
      <c r="M80" s="26"/>
      <c r="N80" s="26"/>
      <c r="O80" s="72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G80" s="28"/>
      <c r="AH80" s="28"/>
      <c r="AI80" s="65"/>
      <c r="AK80" s="65"/>
      <c r="AL80" s="28"/>
      <c r="AM80" s="32"/>
    </row>
    <row r="81" spans="1:39" s="27" customFormat="1" ht="12.75" customHeight="1">
      <c r="A81" s="22"/>
      <c r="B81" s="153"/>
      <c r="C81" s="8"/>
      <c r="D81" s="34"/>
      <c r="E81" s="154"/>
      <c r="F81" s="155"/>
      <c r="G81" s="23"/>
      <c r="H81" s="24"/>
      <c r="I81" s="24"/>
      <c r="J81" s="24"/>
      <c r="K81" s="25"/>
      <c r="L81" s="26"/>
      <c r="M81" s="26"/>
      <c r="N81" s="26"/>
      <c r="O81" s="72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G81" s="28"/>
      <c r="AH81" s="28"/>
      <c r="AI81" s="65"/>
      <c r="AK81" s="65"/>
      <c r="AL81" s="28"/>
      <c r="AM81" s="32"/>
    </row>
    <row r="82" spans="1:39" s="27" customFormat="1" ht="12.75" customHeight="1">
      <c r="A82" s="22"/>
      <c r="B82" s="153"/>
      <c r="C82" s="8"/>
      <c r="D82" s="34"/>
      <c r="E82" s="154"/>
      <c r="F82" s="155"/>
      <c r="G82" s="23"/>
      <c r="H82" s="24"/>
      <c r="I82" s="24"/>
      <c r="J82" s="24"/>
      <c r="K82" s="25"/>
      <c r="L82" s="26"/>
      <c r="M82" s="26"/>
      <c r="N82" s="26"/>
      <c r="O82" s="72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G82" s="28"/>
      <c r="AH82" s="28"/>
      <c r="AI82" s="65"/>
      <c r="AK82" s="65"/>
      <c r="AL82" s="28"/>
      <c r="AM82" s="32"/>
    </row>
    <row r="83" spans="1:39" s="27" customFormat="1" ht="12.75" customHeight="1">
      <c r="A83" s="22"/>
      <c r="B83" s="153"/>
      <c r="C83" s="8"/>
      <c r="D83" s="34"/>
      <c r="E83" s="154"/>
      <c r="F83" s="155"/>
      <c r="G83" s="23"/>
      <c r="H83" s="24"/>
      <c r="I83" s="24"/>
      <c r="J83" s="24"/>
      <c r="K83" s="25"/>
      <c r="L83" s="26"/>
      <c r="M83" s="26"/>
      <c r="N83" s="26"/>
      <c r="O83" s="72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G83" s="28"/>
      <c r="AH83" s="28"/>
      <c r="AI83" s="65"/>
      <c r="AK83" s="65"/>
      <c r="AL83" s="28"/>
      <c r="AM83" s="32"/>
    </row>
    <row r="84" spans="1:39" s="27" customFormat="1" ht="12.75" customHeight="1">
      <c r="A84" s="22"/>
      <c r="B84" s="153"/>
      <c r="C84" s="8"/>
      <c r="D84" s="34"/>
      <c r="E84" s="154"/>
      <c r="F84" s="155"/>
      <c r="G84" s="23"/>
      <c r="H84" s="24"/>
      <c r="I84" s="24"/>
      <c r="J84" s="24"/>
      <c r="K84" s="25"/>
      <c r="L84" s="26"/>
      <c r="M84" s="26"/>
      <c r="N84" s="26"/>
      <c r="O84" s="72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G84" s="28"/>
      <c r="AH84" s="28"/>
      <c r="AI84" s="65"/>
      <c r="AK84" s="65"/>
      <c r="AL84" s="28"/>
      <c r="AM84" s="32"/>
    </row>
    <row r="85" spans="1:39" s="27" customFormat="1" ht="12.75" customHeight="1">
      <c r="A85" s="22"/>
      <c r="B85" s="153"/>
      <c r="C85" s="8"/>
      <c r="D85" s="34"/>
      <c r="E85" s="154"/>
      <c r="F85" s="155"/>
      <c r="G85" s="23"/>
      <c r="H85" s="24"/>
      <c r="I85" s="24"/>
      <c r="J85" s="24"/>
      <c r="K85" s="25"/>
      <c r="L85" s="26"/>
      <c r="M85" s="26"/>
      <c r="N85" s="26"/>
      <c r="O85" s="72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G85" s="28"/>
      <c r="AH85" s="28"/>
      <c r="AI85" s="65"/>
      <c r="AK85" s="65"/>
      <c r="AL85" s="28"/>
      <c r="AM85" s="32"/>
    </row>
    <row r="86" spans="1:39" s="27" customFormat="1" ht="12.75" customHeight="1">
      <c r="A86" s="22"/>
      <c r="B86" s="153"/>
      <c r="C86" s="8"/>
      <c r="D86" s="34"/>
      <c r="E86" s="154"/>
      <c r="F86" s="155"/>
      <c r="G86" s="23"/>
      <c r="H86" s="24"/>
      <c r="I86" s="24"/>
      <c r="J86" s="24"/>
      <c r="K86" s="25"/>
      <c r="L86" s="26"/>
      <c r="M86" s="26"/>
      <c r="N86" s="26"/>
      <c r="O86" s="72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G86" s="28"/>
      <c r="AH86" s="28"/>
      <c r="AI86" s="65"/>
      <c r="AK86" s="65"/>
      <c r="AL86" s="28"/>
      <c r="AM86" s="32"/>
    </row>
    <row r="87" spans="1:39" s="27" customFormat="1" ht="12.75" customHeight="1">
      <c r="A87" s="22"/>
      <c r="B87" s="153"/>
      <c r="C87" s="8"/>
      <c r="D87" s="34"/>
      <c r="E87" s="154"/>
      <c r="F87" s="155"/>
      <c r="G87" s="23"/>
      <c r="H87" s="24"/>
      <c r="I87" s="24"/>
      <c r="J87" s="24"/>
      <c r="K87" s="25"/>
      <c r="L87" s="26"/>
      <c r="M87" s="26"/>
      <c r="N87" s="26"/>
      <c r="O87" s="72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G87" s="28"/>
      <c r="AH87" s="28"/>
      <c r="AI87" s="65"/>
      <c r="AK87" s="65"/>
      <c r="AL87" s="28"/>
      <c r="AM87" s="32"/>
    </row>
    <row r="88" spans="1:39" s="27" customFormat="1" ht="12.75" customHeight="1">
      <c r="A88" s="22"/>
      <c r="B88" s="153"/>
      <c r="C88" s="8"/>
      <c r="D88" s="34"/>
      <c r="E88" s="154"/>
      <c r="F88" s="155"/>
      <c r="G88" s="23"/>
      <c r="H88" s="24"/>
      <c r="I88" s="24"/>
      <c r="J88" s="24"/>
      <c r="K88" s="25"/>
      <c r="L88" s="26"/>
      <c r="M88" s="26"/>
      <c r="N88" s="26"/>
      <c r="O88" s="72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G88" s="28"/>
      <c r="AH88" s="28"/>
      <c r="AI88" s="65"/>
      <c r="AK88" s="65"/>
      <c r="AL88" s="28"/>
      <c r="AM88" s="32"/>
    </row>
    <row r="89" spans="1:39" s="27" customFormat="1" ht="12.75" customHeight="1">
      <c r="A89" s="22"/>
      <c r="B89" s="153"/>
      <c r="C89" s="8"/>
      <c r="D89" s="34"/>
      <c r="E89" s="154"/>
      <c r="F89" s="155"/>
      <c r="G89" s="23"/>
      <c r="H89" s="24"/>
      <c r="I89" s="24"/>
      <c r="J89" s="24"/>
      <c r="K89" s="25"/>
      <c r="L89" s="26"/>
      <c r="M89" s="26"/>
      <c r="N89" s="26"/>
      <c r="O89" s="72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G89" s="28"/>
      <c r="AH89" s="28"/>
      <c r="AI89" s="65"/>
      <c r="AK89" s="65"/>
      <c r="AL89" s="28"/>
      <c r="AM89" s="32"/>
    </row>
    <row r="90" spans="1:39" s="27" customFormat="1" ht="12.75" customHeight="1">
      <c r="A90" s="22"/>
      <c r="B90" s="153"/>
      <c r="C90" s="8"/>
      <c r="D90" s="34"/>
      <c r="E90" s="154"/>
      <c r="F90" s="155"/>
      <c r="G90" s="23"/>
      <c r="H90" s="24"/>
      <c r="I90" s="24"/>
      <c r="J90" s="24"/>
      <c r="K90" s="25"/>
      <c r="L90" s="26"/>
      <c r="M90" s="26"/>
      <c r="N90" s="26"/>
      <c r="O90" s="72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G90" s="28"/>
      <c r="AH90" s="28"/>
      <c r="AI90" s="65"/>
      <c r="AK90" s="65"/>
      <c r="AL90" s="28"/>
      <c r="AM90" s="32"/>
    </row>
    <row r="91" spans="1:39" s="27" customFormat="1" ht="12.75" customHeight="1">
      <c r="A91" s="22"/>
      <c r="B91" s="153"/>
      <c r="C91" s="8"/>
      <c r="D91" s="34"/>
      <c r="E91" s="154"/>
      <c r="F91" s="155"/>
      <c r="G91" s="23"/>
      <c r="H91" s="24"/>
      <c r="I91" s="24"/>
      <c r="J91" s="24"/>
      <c r="K91" s="25"/>
      <c r="L91" s="26"/>
      <c r="M91" s="26"/>
      <c r="N91" s="26"/>
      <c r="O91" s="72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G91" s="28"/>
      <c r="AH91" s="28"/>
      <c r="AI91" s="65"/>
      <c r="AK91" s="65"/>
      <c r="AL91" s="28"/>
      <c r="AM91" s="32"/>
    </row>
    <row r="92" spans="1:39" s="27" customFormat="1" ht="12.75" customHeight="1">
      <c r="A92" s="22"/>
      <c r="B92" s="153"/>
      <c r="C92" s="8"/>
      <c r="D92" s="34"/>
      <c r="E92" s="154"/>
      <c r="F92" s="155"/>
      <c r="G92" s="23"/>
      <c r="H92" s="24"/>
      <c r="I92" s="24"/>
      <c r="J92" s="24"/>
      <c r="K92" s="25"/>
      <c r="L92" s="26"/>
      <c r="M92" s="26"/>
      <c r="N92" s="26"/>
      <c r="O92" s="72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G92" s="28"/>
      <c r="AH92" s="28"/>
      <c r="AI92" s="65"/>
      <c r="AK92" s="65"/>
      <c r="AL92" s="28"/>
      <c r="AM92" s="32"/>
    </row>
    <row r="93" spans="1:39" s="27" customFormat="1" ht="12.75" customHeight="1">
      <c r="A93" s="22"/>
      <c r="B93" s="153"/>
      <c r="C93" s="8"/>
      <c r="D93" s="34"/>
      <c r="E93" s="154"/>
      <c r="F93" s="155"/>
      <c r="G93" s="23"/>
      <c r="H93" s="24"/>
      <c r="I93" s="24"/>
      <c r="J93" s="24"/>
      <c r="K93" s="25"/>
      <c r="L93" s="26"/>
      <c r="M93" s="26"/>
      <c r="N93" s="26"/>
      <c r="O93" s="72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G93" s="28"/>
      <c r="AH93" s="28"/>
      <c r="AI93" s="65"/>
      <c r="AK93" s="65"/>
      <c r="AL93" s="28"/>
      <c r="AM93" s="32"/>
    </row>
    <row r="94" spans="1:39" s="27" customFormat="1" ht="12.75" customHeight="1">
      <c r="A94" s="22"/>
      <c r="B94" s="153"/>
      <c r="C94" s="8"/>
      <c r="D94" s="34"/>
      <c r="E94" s="154"/>
      <c r="F94" s="155"/>
      <c r="G94" s="23"/>
      <c r="H94" s="24"/>
      <c r="I94" s="24"/>
      <c r="J94" s="24"/>
      <c r="K94" s="25"/>
      <c r="L94" s="26"/>
      <c r="M94" s="26"/>
      <c r="N94" s="26"/>
      <c r="O94" s="72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G94" s="28"/>
      <c r="AH94" s="28"/>
      <c r="AI94" s="65"/>
      <c r="AK94" s="65"/>
      <c r="AL94" s="28"/>
      <c r="AM94" s="32"/>
    </row>
    <row r="95" spans="1:39" s="27" customFormat="1" ht="12.75" customHeight="1">
      <c r="A95" s="22"/>
      <c r="B95" s="153"/>
      <c r="C95" s="8"/>
      <c r="D95" s="34"/>
      <c r="E95" s="154"/>
      <c r="F95" s="155"/>
      <c r="G95" s="23"/>
      <c r="H95" s="24"/>
      <c r="I95" s="24"/>
      <c r="J95" s="24"/>
      <c r="K95" s="25"/>
      <c r="L95" s="26"/>
      <c r="M95" s="26"/>
      <c r="N95" s="26"/>
      <c r="O95" s="72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G95" s="28"/>
      <c r="AH95" s="28"/>
      <c r="AI95" s="65"/>
      <c r="AK95" s="65"/>
      <c r="AL95" s="28"/>
      <c r="AM95" s="32"/>
    </row>
    <row r="96" spans="1:39" s="27" customFormat="1" ht="12.75" customHeight="1">
      <c r="A96" s="22"/>
      <c r="B96" s="153"/>
      <c r="C96" s="8"/>
      <c r="D96" s="34"/>
      <c r="E96" s="154"/>
      <c r="F96" s="155"/>
      <c r="G96" s="23"/>
      <c r="H96" s="24"/>
      <c r="I96" s="24"/>
      <c r="J96" s="24"/>
      <c r="K96" s="25"/>
      <c r="L96" s="26"/>
      <c r="M96" s="26"/>
      <c r="N96" s="26"/>
      <c r="O96" s="72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G96" s="28"/>
      <c r="AH96" s="28"/>
      <c r="AI96" s="65"/>
      <c r="AK96" s="65"/>
      <c r="AL96" s="28"/>
      <c r="AM96" s="32"/>
    </row>
    <row r="97" spans="1:39" s="27" customFormat="1" ht="12.75" customHeight="1">
      <c r="A97" s="22"/>
      <c r="B97" s="153"/>
      <c r="C97" s="8"/>
      <c r="D97" s="34"/>
      <c r="E97" s="154"/>
      <c r="F97" s="155"/>
      <c r="G97" s="23"/>
      <c r="H97" s="24"/>
      <c r="I97" s="24"/>
      <c r="J97" s="24"/>
      <c r="K97" s="25"/>
      <c r="L97" s="26"/>
      <c r="M97" s="26"/>
      <c r="N97" s="26"/>
      <c r="O97" s="72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G97" s="28"/>
      <c r="AH97" s="28"/>
      <c r="AI97" s="65"/>
      <c r="AK97" s="65"/>
      <c r="AL97" s="28"/>
      <c r="AM97" s="32"/>
    </row>
    <row r="98" spans="1:39" s="27" customFormat="1" ht="12.75" customHeight="1">
      <c r="A98" s="22"/>
      <c r="B98" s="153"/>
      <c r="C98" s="8"/>
      <c r="D98" s="34"/>
      <c r="E98" s="154"/>
      <c r="F98" s="155"/>
      <c r="G98" s="23"/>
      <c r="H98" s="24"/>
      <c r="I98" s="24"/>
      <c r="J98" s="24"/>
      <c r="K98" s="25"/>
      <c r="L98" s="26"/>
      <c r="M98" s="26"/>
      <c r="N98" s="26"/>
      <c r="O98" s="72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G98" s="28"/>
      <c r="AH98" s="28"/>
      <c r="AI98" s="65"/>
      <c r="AK98" s="65"/>
      <c r="AL98" s="28"/>
      <c r="AM98" s="32"/>
    </row>
    <row r="99" spans="1:39" s="27" customFormat="1" ht="12.75" customHeight="1">
      <c r="A99" s="22"/>
      <c r="B99" s="153"/>
      <c r="C99" s="8"/>
      <c r="D99" s="34"/>
      <c r="E99" s="154"/>
      <c r="F99" s="155"/>
      <c r="G99" s="23"/>
      <c r="H99" s="24"/>
      <c r="I99" s="24"/>
      <c r="J99" s="24"/>
      <c r="K99" s="25"/>
      <c r="L99" s="26"/>
      <c r="M99" s="26"/>
      <c r="N99" s="26"/>
      <c r="O99" s="72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G99" s="28"/>
      <c r="AH99" s="28"/>
      <c r="AI99" s="65"/>
      <c r="AK99" s="65"/>
      <c r="AL99" s="28"/>
      <c r="AM99" s="32"/>
    </row>
    <row r="100" spans="1:39" s="27" customFormat="1" ht="12.75" customHeight="1">
      <c r="A100" s="22"/>
      <c r="B100" s="153"/>
      <c r="C100" s="8"/>
      <c r="D100" s="34"/>
      <c r="E100" s="154"/>
      <c r="F100" s="155"/>
      <c r="G100" s="23"/>
      <c r="H100" s="24"/>
      <c r="I100" s="24"/>
      <c r="J100" s="24"/>
      <c r="K100" s="25"/>
      <c r="L100" s="26"/>
      <c r="M100" s="26"/>
      <c r="N100" s="26"/>
      <c r="O100" s="72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G100" s="28"/>
      <c r="AH100" s="28"/>
      <c r="AI100" s="65"/>
      <c r="AK100" s="65"/>
      <c r="AL100" s="28"/>
      <c r="AM100" s="32"/>
    </row>
    <row r="101" spans="1:39" s="27" customFormat="1" ht="12.75" customHeight="1">
      <c r="A101" s="22"/>
      <c r="B101" s="153"/>
      <c r="C101" s="8"/>
      <c r="D101" s="34"/>
      <c r="E101" s="154"/>
      <c r="F101" s="155"/>
      <c r="G101" s="23"/>
      <c r="H101" s="24"/>
      <c r="I101" s="24"/>
      <c r="J101" s="24"/>
      <c r="K101" s="25"/>
      <c r="L101" s="26"/>
      <c r="M101" s="26"/>
      <c r="N101" s="26"/>
      <c r="O101" s="72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G101" s="28"/>
      <c r="AH101" s="28"/>
      <c r="AI101" s="65"/>
      <c r="AK101" s="65"/>
      <c r="AL101" s="28"/>
      <c r="AM101" s="32"/>
    </row>
    <row r="102" spans="1:39" s="27" customFormat="1" ht="12.75" customHeight="1">
      <c r="A102" s="22"/>
      <c r="B102" s="153"/>
      <c r="C102" s="8"/>
      <c r="D102" s="34"/>
      <c r="E102" s="154"/>
      <c r="F102" s="155"/>
      <c r="G102" s="23"/>
      <c r="H102" s="24"/>
      <c r="I102" s="24"/>
      <c r="J102" s="24"/>
      <c r="K102" s="25"/>
      <c r="L102" s="26"/>
      <c r="M102" s="26"/>
      <c r="N102" s="26"/>
      <c r="O102" s="72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G102" s="28"/>
      <c r="AH102" s="28"/>
      <c r="AI102" s="65"/>
      <c r="AK102" s="65"/>
      <c r="AL102" s="28"/>
      <c r="AM102" s="32"/>
    </row>
    <row r="103" spans="1:39" s="27" customFormat="1" ht="12.75" customHeight="1">
      <c r="A103" s="22"/>
      <c r="B103" s="153"/>
      <c r="C103" s="8"/>
      <c r="D103" s="34"/>
      <c r="E103" s="154"/>
      <c r="F103" s="155"/>
      <c r="G103" s="23"/>
      <c r="H103" s="24"/>
      <c r="I103" s="24"/>
      <c r="J103" s="24"/>
      <c r="K103" s="25"/>
      <c r="L103" s="26"/>
      <c r="M103" s="26"/>
      <c r="N103" s="26"/>
      <c r="O103" s="72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G103" s="28"/>
      <c r="AH103" s="28"/>
      <c r="AI103" s="65"/>
      <c r="AK103" s="65"/>
      <c r="AL103" s="28"/>
      <c r="AM103" s="32"/>
    </row>
    <row r="104" spans="1:39" s="27" customFormat="1" ht="12.75" customHeight="1">
      <c r="A104" s="22"/>
      <c r="B104" s="153"/>
      <c r="C104" s="8"/>
      <c r="D104" s="34"/>
      <c r="E104" s="154"/>
      <c r="F104" s="155"/>
      <c r="G104" s="23"/>
      <c r="H104" s="24"/>
      <c r="I104" s="24"/>
      <c r="J104" s="24"/>
      <c r="K104" s="25"/>
      <c r="L104" s="26"/>
      <c r="M104" s="26"/>
      <c r="N104" s="26"/>
      <c r="O104" s="72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G104" s="28"/>
      <c r="AH104" s="28"/>
      <c r="AI104" s="65"/>
      <c r="AK104" s="65"/>
      <c r="AL104" s="28"/>
      <c r="AM104" s="32"/>
    </row>
    <row r="105" spans="1:39" s="27" customFormat="1" ht="12.75" customHeight="1">
      <c r="A105" s="22"/>
      <c r="B105" s="153"/>
      <c r="C105" s="8"/>
      <c r="D105" s="34"/>
      <c r="E105" s="154"/>
      <c r="F105" s="155"/>
      <c r="G105" s="23"/>
      <c r="H105" s="24"/>
      <c r="I105" s="24"/>
      <c r="J105" s="24"/>
      <c r="K105" s="25"/>
      <c r="L105" s="26"/>
      <c r="M105" s="26"/>
      <c r="N105" s="26"/>
      <c r="O105" s="72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G105" s="28"/>
      <c r="AH105" s="28"/>
      <c r="AI105" s="65"/>
      <c r="AK105" s="65"/>
      <c r="AL105" s="28"/>
      <c r="AM105" s="32"/>
    </row>
    <row r="106" spans="1:39" s="27" customFormat="1" ht="12.75" customHeight="1">
      <c r="A106" s="22"/>
      <c r="B106" s="153"/>
      <c r="C106" s="8"/>
      <c r="D106" s="34"/>
      <c r="E106" s="154"/>
      <c r="F106" s="155"/>
      <c r="G106" s="23"/>
      <c r="H106" s="24"/>
      <c r="I106" s="24"/>
      <c r="J106" s="24"/>
      <c r="K106" s="25"/>
      <c r="L106" s="26"/>
      <c r="M106" s="26"/>
      <c r="N106" s="26"/>
      <c r="O106" s="72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G106" s="28"/>
      <c r="AH106" s="28"/>
      <c r="AI106" s="65"/>
      <c r="AK106" s="65"/>
      <c r="AL106" s="28"/>
      <c r="AM106" s="32"/>
    </row>
    <row r="107" spans="1:39" s="27" customFormat="1" ht="12.75" customHeight="1">
      <c r="A107" s="22"/>
      <c r="B107" s="153"/>
      <c r="C107" s="8"/>
      <c r="D107" s="34"/>
      <c r="E107" s="154"/>
      <c r="F107" s="155"/>
      <c r="G107" s="23"/>
      <c r="H107" s="24"/>
      <c r="I107" s="24"/>
      <c r="J107" s="24"/>
      <c r="K107" s="25"/>
      <c r="L107" s="26"/>
      <c r="M107" s="26"/>
      <c r="N107" s="26"/>
      <c r="O107" s="72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G107" s="28"/>
      <c r="AH107" s="28"/>
      <c r="AI107" s="65"/>
      <c r="AK107" s="65"/>
      <c r="AL107" s="28"/>
      <c r="AM107" s="32"/>
    </row>
    <row r="108" spans="1:39" s="27" customFormat="1" ht="12.75" customHeight="1">
      <c r="A108" s="22"/>
      <c r="B108" s="153"/>
      <c r="C108" s="8"/>
      <c r="D108" s="34"/>
      <c r="E108" s="154"/>
      <c r="F108" s="155"/>
      <c r="G108" s="23"/>
      <c r="H108" s="24"/>
      <c r="I108" s="24"/>
      <c r="J108" s="24"/>
      <c r="K108" s="25"/>
      <c r="L108" s="26"/>
      <c r="M108" s="26"/>
      <c r="N108" s="26"/>
      <c r="O108" s="72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G108" s="28"/>
      <c r="AH108" s="28"/>
      <c r="AI108" s="65"/>
      <c r="AK108" s="65"/>
      <c r="AL108" s="28"/>
      <c r="AM108" s="32"/>
    </row>
    <row r="109" spans="1:39" s="27" customFormat="1" ht="12.75" customHeight="1">
      <c r="A109" s="22"/>
      <c r="B109" s="153"/>
      <c r="C109" s="8"/>
      <c r="D109" s="34"/>
      <c r="E109" s="154"/>
      <c r="F109" s="155"/>
      <c r="G109" s="23"/>
      <c r="H109" s="24"/>
      <c r="I109" s="24"/>
      <c r="J109" s="24"/>
      <c r="K109" s="25"/>
      <c r="L109" s="26"/>
      <c r="M109" s="26"/>
      <c r="N109" s="26"/>
      <c r="O109" s="72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G109" s="28"/>
      <c r="AH109" s="28"/>
      <c r="AI109" s="65"/>
      <c r="AK109" s="65"/>
      <c r="AL109" s="28"/>
      <c r="AM109" s="32"/>
    </row>
    <row r="110" spans="1:39" s="27" customFormat="1" ht="12.75" customHeight="1">
      <c r="A110" s="22"/>
      <c r="B110" s="153"/>
      <c r="C110" s="8"/>
      <c r="D110" s="34"/>
      <c r="E110" s="154"/>
      <c r="F110" s="155"/>
      <c r="G110" s="23"/>
      <c r="H110" s="24"/>
      <c r="I110" s="24"/>
      <c r="J110" s="24"/>
      <c r="K110" s="25"/>
      <c r="L110" s="26"/>
      <c r="M110" s="26"/>
      <c r="N110" s="26"/>
      <c r="O110" s="72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G110" s="28"/>
      <c r="AH110" s="28"/>
      <c r="AI110" s="65"/>
      <c r="AK110" s="65"/>
      <c r="AL110" s="28"/>
      <c r="AM110" s="32"/>
    </row>
    <row r="111" spans="1:39" s="27" customFormat="1" ht="12.75" customHeight="1">
      <c r="A111" s="22"/>
      <c r="B111" s="153"/>
      <c r="C111" s="8"/>
      <c r="D111" s="34"/>
      <c r="E111" s="154"/>
      <c r="F111" s="155"/>
      <c r="G111" s="23"/>
      <c r="H111" s="24"/>
      <c r="I111" s="24"/>
      <c r="J111" s="24"/>
      <c r="K111" s="25"/>
      <c r="L111" s="26"/>
      <c r="M111" s="26"/>
      <c r="N111" s="26"/>
      <c r="O111" s="72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G111" s="28"/>
      <c r="AH111" s="28"/>
      <c r="AI111" s="65"/>
      <c r="AK111" s="65"/>
      <c r="AL111" s="28"/>
      <c r="AM111" s="32"/>
    </row>
    <row r="112" spans="1:39" s="27" customFormat="1" ht="12.75" customHeight="1">
      <c r="A112" s="22"/>
      <c r="B112" s="153"/>
      <c r="C112" s="8"/>
      <c r="D112" s="34"/>
      <c r="E112" s="154"/>
      <c r="F112" s="155"/>
      <c r="G112" s="23"/>
      <c r="H112" s="24"/>
      <c r="I112" s="24"/>
      <c r="J112" s="24"/>
      <c r="K112" s="25"/>
      <c r="L112" s="26"/>
      <c r="M112" s="26"/>
      <c r="N112" s="26"/>
      <c r="O112" s="72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G112" s="28"/>
      <c r="AH112" s="28"/>
      <c r="AI112" s="65"/>
      <c r="AK112" s="65"/>
      <c r="AL112" s="28"/>
      <c r="AM112" s="32"/>
    </row>
    <row r="113" spans="1:39" s="27" customFormat="1" ht="12.75" customHeight="1">
      <c r="A113" s="22"/>
      <c r="B113" s="153"/>
      <c r="C113" s="8"/>
      <c r="D113" s="34"/>
      <c r="E113" s="154"/>
      <c r="F113" s="155"/>
      <c r="G113" s="23"/>
      <c r="H113" s="24"/>
      <c r="I113" s="24"/>
      <c r="J113" s="24"/>
      <c r="K113" s="25"/>
      <c r="L113" s="26"/>
      <c r="M113" s="26"/>
      <c r="N113" s="26"/>
      <c r="O113" s="72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G113" s="28"/>
      <c r="AH113" s="28"/>
      <c r="AI113" s="65"/>
      <c r="AK113" s="65"/>
      <c r="AL113" s="28"/>
      <c r="AM113" s="32"/>
    </row>
    <row r="114" spans="1:39" s="27" customFormat="1" ht="12.75" customHeight="1">
      <c r="A114" s="22"/>
      <c r="B114" s="153"/>
      <c r="C114" s="8"/>
      <c r="D114" s="34"/>
      <c r="E114" s="154"/>
      <c r="F114" s="155"/>
      <c r="G114" s="23"/>
      <c r="H114" s="24"/>
      <c r="I114" s="24"/>
      <c r="J114" s="24"/>
      <c r="K114" s="25"/>
      <c r="L114" s="26"/>
      <c r="M114" s="26"/>
      <c r="N114" s="26"/>
      <c r="O114" s="72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G114" s="28"/>
      <c r="AH114" s="28"/>
      <c r="AI114" s="65"/>
      <c r="AK114" s="65"/>
      <c r="AL114" s="28"/>
      <c r="AM114" s="32"/>
    </row>
    <row r="115" spans="1:39" s="27" customFormat="1" ht="12.75" customHeight="1">
      <c r="A115" s="22"/>
      <c r="B115" s="153"/>
      <c r="C115" s="8"/>
      <c r="D115" s="34"/>
      <c r="E115" s="154"/>
      <c r="F115" s="155"/>
      <c r="G115" s="23"/>
      <c r="H115" s="24"/>
      <c r="I115" s="24"/>
      <c r="J115" s="24"/>
      <c r="K115" s="25"/>
      <c r="L115" s="26"/>
      <c r="M115" s="26"/>
      <c r="N115" s="26"/>
      <c r="O115" s="72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G115" s="28"/>
      <c r="AH115" s="28"/>
      <c r="AI115" s="65"/>
      <c r="AK115" s="65"/>
      <c r="AL115" s="28"/>
      <c r="AM115" s="32"/>
    </row>
    <row r="116" spans="1:39" s="27" customFormat="1" ht="12.75" customHeight="1">
      <c r="A116" s="22"/>
      <c r="B116" s="153"/>
      <c r="C116" s="8"/>
      <c r="D116" s="34"/>
      <c r="E116" s="154"/>
      <c r="F116" s="155"/>
      <c r="G116" s="23"/>
      <c r="H116" s="24"/>
      <c r="I116" s="24"/>
      <c r="J116" s="24"/>
      <c r="K116" s="25"/>
      <c r="L116" s="26"/>
      <c r="M116" s="26"/>
      <c r="N116" s="26"/>
      <c r="O116" s="72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G116" s="28"/>
      <c r="AH116" s="28"/>
      <c r="AI116" s="65"/>
      <c r="AK116" s="65"/>
      <c r="AL116" s="28"/>
      <c r="AM116" s="32"/>
    </row>
    <row r="117" spans="1:39" s="27" customFormat="1" ht="12.75" customHeight="1">
      <c r="A117" s="22"/>
      <c r="B117" s="153"/>
      <c r="C117" s="8"/>
      <c r="D117" s="34"/>
      <c r="E117" s="154"/>
      <c r="F117" s="155"/>
      <c r="G117" s="23"/>
      <c r="H117" s="24"/>
      <c r="I117" s="24"/>
      <c r="J117" s="24"/>
      <c r="K117" s="25"/>
      <c r="L117" s="26"/>
      <c r="M117" s="26"/>
      <c r="N117" s="26"/>
      <c r="O117" s="72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G117" s="28"/>
      <c r="AH117" s="28"/>
      <c r="AI117" s="65"/>
      <c r="AK117" s="65"/>
      <c r="AL117" s="28"/>
      <c r="AM117" s="32"/>
    </row>
    <row r="118" spans="1:39" s="27" customFormat="1" ht="12.75" customHeight="1">
      <c r="A118" s="22"/>
      <c r="B118" s="153"/>
      <c r="C118" s="8"/>
      <c r="D118" s="34"/>
      <c r="E118" s="154"/>
      <c r="F118" s="155"/>
      <c r="G118" s="23"/>
      <c r="H118" s="24"/>
      <c r="I118" s="24"/>
      <c r="J118" s="24"/>
      <c r="K118" s="25"/>
      <c r="L118" s="26"/>
      <c r="M118" s="26"/>
      <c r="N118" s="26"/>
      <c r="O118" s="72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G118" s="28"/>
      <c r="AH118" s="28"/>
      <c r="AI118" s="65"/>
      <c r="AK118" s="65"/>
      <c r="AL118" s="28"/>
      <c r="AM118" s="32"/>
    </row>
    <row r="119" spans="1:39" s="27" customFormat="1" ht="12.75" customHeight="1">
      <c r="A119" s="22"/>
      <c r="B119" s="153"/>
      <c r="C119" s="8"/>
      <c r="D119" s="34"/>
      <c r="E119" s="154"/>
      <c r="F119" s="155"/>
      <c r="G119" s="23"/>
      <c r="H119" s="24"/>
      <c r="I119" s="24"/>
      <c r="J119" s="24"/>
      <c r="K119" s="25"/>
      <c r="L119" s="26"/>
      <c r="M119" s="26"/>
      <c r="N119" s="26"/>
      <c r="O119" s="72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G119" s="28"/>
      <c r="AH119" s="28"/>
      <c r="AI119" s="65"/>
      <c r="AK119" s="65"/>
      <c r="AL119" s="28"/>
      <c r="AM119" s="32"/>
    </row>
    <row r="120" spans="1:39" s="27" customFormat="1" ht="12.75" customHeight="1">
      <c r="A120" s="22"/>
      <c r="B120" s="153"/>
      <c r="C120" s="8"/>
      <c r="D120" s="34"/>
      <c r="E120" s="154"/>
      <c r="F120" s="155"/>
      <c r="G120" s="23"/>
      <c r="H120" s="24"/>
      <c r="I120" s="24"/>
      <c r="J120" s="24"/>
      <c r="K120" s="25"/>
      <c r="L120" s="26"/>
      <c r="M120" s="26"/>
      <c r="N120" s="26"/>
      <c r="O120" s="72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G120" s="28"/>
      <c r="AH120" s="28"/>
      <c r="AI120" s="65"/>
      <c r="AK120" s="65"/>
      <c r="AL120" s="28"/>
      <c r="AM120" s="32"/>
    </row>
    <row r="121" spans="1:39" s="27" customFormat="1" ht="12.75" customHeight="1">
      <c r="A121" s="22"/>
      <c r="B121" s="153"/>
      <c r="C121" s="8"/>
      <c r="D121" s="34"/>
      <c r="E121" s="154"/>
      <c r="F121" s="155"/>
      <c r="G121" s="23"/>
      <c r="H121" s="24"/>
      <c r="I121" s="24"/>
      <c r="J121" s="24"/>
      <c r="K121" s="25"/>
      <c r="L121" s="26"/>
      <c r="M121" s="26"/>
      <c r="N121" s="26"/>
      <c r="O121" s="72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G121" s="28"/>
      <c r="AH121" s="28"/>
      <c r="AI121" s="65"/>
      <c r="AK121" s="65"/>
      <c r="AL121" s="28"/>
      <c r="AM121" s="32"/>
    </row>
    <row r="122" spans="1:39" s="27" customFormat="1" ht="12.75" customHeight="1">
      <c r="A122" s="22"/>
      <c r="B122" s="153"/>
      <c r="C122" s="8"/>
      <c r="D122" s="34"/>
      <c r="E122" s="154"/>
      <c r="F122" s="155"/>
      <c r="G122" s="23"/>
      <c r="H122" s="24"/>
      <c r="I122" s="24"/>
      <c r="J122" s="24"/>
      <c r="K122" s="25"/>
      <c r="L122" s="26"/>
      <c r="M122" s="26"/>
      <c r="N122" s="26"/>
      <c r="O122" s="72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G122" s="28"/>
      <c r="AH122" s="28"/>
      <c r="AI122" s="65"/>
      <c r="AK122" s="65"/>
      <c r="AL122" s="28"/>
      <c r="AM122" s="32"/>
    </row>
    <row r="123" spans="1:39" s="27" customFormat="1" ht="12.75" customHeight="1">
      <c r="A123" s="22"/>
      <c r="B123" s="153"/>
      <c r="C123" s="8"/>
      <c r="D123" s="34"/>
      <c r="E123" s="154"/>
      <c r="F123" s="155"/>
      <c r="G123" s="23"/>
      <c r="H123" s="24"/>
      <c r="I123" s="24"/>
      <c r="J123" s="24"/>
      <c r="K123" s="25"/>
      <c r="L123" s="26"/>
      <c r="M123" s="26"/>
      <c r="N123" s="26"/>
      <c r="O123" s="72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G123" s="28"/>
      <c r="AH123" s="28"/>
      <c r="AI123" s="65"/>
      <c r="AK123" s="65"/>
      <c r="AL123" s="28"/>
      <c r="AM123" s="32"/>
    </row>
    <row r="124" spans="1:39" s="27" customFormat="1" ht="12.75" customHeight="1">
      <c r="A124" s="22"/>
      <c r="B124" s="153"/>
      <c r="C124" s="8"/>
      <c r="D124" s="34"/>
      <c r="E124" s="154"/>
      <c r="F124" s="155"/>
      <c r="G124" s="23"/>
      <c r="H124" s="24"/>
      <c r="I124" s="24"/>
      <c r="J124" s="24"/>
      <c r="K124" s="25"/>
      <c r="L124" s="26"/>
      <c r="M124" s="26"/>
      <c r="N124" s="26"/>
      <c r="O124" s="72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G124" s="28"/>
      <c r="AH124" s="28"/>
      <c r="AI124" s="65"/>
      <c r="AK124" s="65"/>
      <c r="AL124" s="28"/>
      <c r="AM124" s="32"/>
    </row>
    <row r="125" spans="1:39" s="27" customFormat="1" ht="12.75" customHeight="1">
      <c r="A125" s="22"/>
      <c r="B125" s="153"/>
      <c r="C125" s="8"/>
      <c r="D125" s="34"/>
      <c r="E125" s="154"/>
      <c r="F125" s="155"/>
      <c r="G125" s="23"/>
      <c r="H125" s="24"/>
      <c r="I125" s="24"/>
      <c r="J125" s="24"/>
      <c r="K125" s="25"/>
      <c r="L125" s="26"/>
      <c r="M125" s="26"/>
      <c r="N125" s="26"/>
      <c r="O125" s="72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G125" s="28"/>
      <c r="AH125" s="28"/>
      <c r="AI125" s="65"/>
      <c r="AK125" s="65"/>
      <c r="AL125" s="28"/>
      <c r="AM125" s="32"/>
    </row>
    <row r="126" spans="1:39" s="27" customFormat="1" ht="12.75" customHeight="1">
      <c r="A126" s="22"/>
      <c r="B126" s="153"/>
      <c r="C126" s="8"/>
      <c r="D126" s="34"/>
      <c r="E126" s="154"/>
      <c r="F126" s="155"/>
      <c r="G126" s="23"/>
      <c r="H126" s="24"/>
      <c r="I126" s="24"/>
      <c r="J126" s="24"/>
      <c r="K126" s="25"/>
      <c r="L126" s="26"/>
      <c r="M126" s="26"/>
      <c r="N126" s="26"/>
      <c r="O126" s="72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G126" s="28"/>
      <c r="AH126" s="28"/>
      <c r="AI126" s="65"/>
      <c r="AK126" s="65"/>
      <c r="AL126" s="28"/>
      <c r="AM126" s="32"/>
    </row>
    <row r="127" spans="1:39" s="27" customFormat="1" ht="12.75" customHeight="1">
      <c r="A127" s="22"/>
      <c r="B127" s="153"/>
      <c r="C127" s="8"/>
      <c r="D127" s="34"/>
      <c r="E127" s="154"/>
      <c r="F127" s="155"/>
      <c r="G127" s="23"/>
      <c r="H127" s="24"/>
      <c r="I127" s="24"/>
      <c r="J127" s="24"/>
      <c r="K127" s="25"/>
      <c r="L127" s="26"/>
      <c r="M127" s="26"/>
      <c r="N127" s="26"/>
      <c r="O127" s="72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G127" s="28"/>
      <c r="AH127" s="28"/>
      <c r="AI127" s="65"/>
      <c r="AK127" s="65"/>
      <c r="AL127" s="28"/>
      <c r="AM127" s="32"/>
    </row>
    <row r="128" spans="1:39" s="27" customFormat="1" ht="12.75" customHeight="1">
      <c r="A128" s="22"/>
      <c r="B128" s="153"/>
      <c r="C128" s="8"/>
      <c r="D128" s="34"/>
      <c r="E128" s="154"/>
      <c r="F128" s="155"/>
      <c r="G128" s="23"/>
      <c r="H128" s="24"/>
      <c r="I128" s="24"/>
      <c r="J128" s="24"/>
      <c r="K128" s="25"/>
      <c r="L128" s="26"/>
      <c r="M128" s="26"/>
      <c r="N128" s="26"/>
      <c r="O128" s="72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G128" s="28"/>
      <c r="AH128" s="28"/>
      <c r="AI128" s="65"/>
      <c r="AK128" s="65"/>
      <c r="AL128" s="28"/>
      <c r="AM128" s="32"/>
    </row>
    <row r="129" spans="1:39" s="27" customFormat="1" ht="12.75" customHeight="1">
      <c r="A129" s="22"/>
      <c r="B129" s="153"/>
      <c r="C129" s="8"/>
      <c r="D129" s="34"/>
      <c r="E129" s="154"/>
      <c r="F129" s="155"/>
      <c r="G129" s="23"/>
      <c r="H129" s="24"/>
      <c r="I129" s="24"/>
      <c r="J129" s="24"/>
      <c r="K129" s="25"/>
      <c r="L129" s="26"/>
      <c r="M129" s="26"/>
      <c r="N129" s="26"/>
      <c r="O129" s="72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G129" s="28"/>
      <c r="AH129" s="28"/>
      <c r="AI129" s="65"/>
      <c r="AK129" s="65"/>
      <c r="AL129" s="28"/>
      <c r="AM129" s="32"/>
    </row>
    <row r="130" spans="1:39" s="27" customFormat="1" ht="12.75" customHeight="1">
      <c r="A130" s="22"/>
      <c r="B130" s="153"/>
      <c r="C130" s="8"/>
      <c r="D130" s="34"/>
      <c r="E130" s="154"/>
      <c r="F130" s="155"/>
      <c r="G130" s="23"/>
      <c r="H130" s="24"/>
      <c r="I130" s="24"/>
      <c r="J130" s="24"/>
      <c r="K130" s="25"/>
      <c r="L130" s="26"/>
      <c r="M130" s="26"/>
      <c r="N130" s="26"/>
      <c r="O130" s="72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G130" s="28"/>
      <c r="AH130" s="28"/>
      <c r="AI130" s="65"/>
      <c r="AK130" s="65"/>
      <c r="AL130" s="28"/>
      <c r="AM130" s="32"/>
    </row>
    <row r="131" spans="1:39" s="27" customFormat="1" ht="12.75" customHeight="1">
      <c r="A131" s="22"/>
      <c r="B131" s="153"/>
      <c r="C131" s="8"/>
      <c r="D131" s="34"/>
      <c r="E131" s="154"/>
      <c r="F131" s="155"/>
      <c r="G131" s="23"/>
      <c r="H131" s="24"/>
      <c r="I131" s="24"/>
      <c r="J131" s="24"/>
      <c r="K131" s="25"/>
      <c r="L131" s="26"/>
      <c r="M131" s="26"/>
      <c r="N131" s="26"/>
      <c r="O131" s="72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G131" s="28"/>
      <c r="AH131" s="28"/>
      <c r="AI131" s="65"/>
      <c r="AK131" s="65"/>
      <c r="AL131" s="28"/>
      <c r="AM131" s="32"/>
    </row>
    <row r="132" spans="1:39" s="27" customFormat="1" ht="12.75" customHeight="1">
      <c r="A132" s="22"/>
      <c r="B132" s="153"/>
      <c r="C132" s="8"/>
      <c r="D132" s="34"/>
      <c r="E132" s="154"/>
      <c r="F132" s="155"/>
      <c r="G132" s="23"/>
      <c r="H132" s="24"/>
      <c r="I132" s="24"/>
      <c r="J132" s="24"/>
      <c r="K132" s="25"/>
      <c r="L132" s="26"/>
      <c r="M132" s="26"/>
      <c r="N132" s="26"/>
      <c r="O132" s="72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G132" s="28"/>
      <c r="AH132" s="28"/>
      <c r="AI132" s="65"/>
      <c r="AK132" s="65"/>
      <c r="AL132" s="28"/>
      <c r="AM132" s="32"/>
    </row>
    <row r="133" spans="1:39" s="27" customFormat="1" ht="12.75" customHeight="1">
      <c r="A133" s="22"/>
      <c r="B133" s="153"/>
      <c r="C133" s="8"/>
      <c r="D133" s="34"/>
      <c r="E133" s="154"/>
      <c r="F133" s="155"/>
      <c r="G133" s="23"/>
      <c r="H133" s="24"/>
      <c r="I133" s="24"/>
      <c r="J133" s="24"/>
      <c r="K133" s="25"/>
      <c r="L133" s="26"/>
      <c r="M133" s="26"/>
      <c r="N133" s="26"/>
      <c r="O133" s="72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G133" s="28"/>
      <c r="AH133" s="28"/>
      <c r="AI133" s="65"/>
      <c r="AK133" s="65"/>
      <c r="AL133" s="28"/>
      <c r="AM133" s="32"/>
    </row>
    <row r="134" spans="1:39" s="27" customFormat="1" ht="12.75" customHeight="1">
      <c r="A134" s="22"/>
      <c r="B134" s="153"/>
      <c r="C134" s="8"/>
      <c r="D134" s="34"/>
      <c r="E134" s="154"/>
      <c r="F134" s="155"/>
      <c r="G134" s="23"/>
      <c r="H134" s="24"/>
      <c r="I134" s="24"/>
      <c r="J134" s="24"/>
      <c r="K134" s="25"/>
      <c r="L134" s="26"/>
      <c r="M134" s="26"/>
      <c r="N134" s="26"/>
      <c r="O134" s="72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G134" s="28"/>
      <c r="AH134" s="28"/>
      <c r="AI134" s="65"/>
      <c r="AK134" s="65"/>
      <c r="AL134" s="28"/>
      <c r="AM134" s="32"/>
    </row>
    <row r="135" spans="1:39" s="27" customFormat="1" ht="12.75" customHeight="1">
      <c r="A135" s="22"/>
      <c r="B135" s="153"/>
      <c r="C135" s="8"/>
      <c r="D135" s="34"/>
      <c r="E135" s="154"/>
      <c r="F135" s="155"/>
      <c r="G135" s="23"/>
      <c r="H135" s="24"/>
      <c r="I135" s="24"/>
      <c r="J135" s="24"/>
      <c r="K135" s="25"/>
      <c r="L135" s="26"/>
      <c r="M135" s="26"/>
      <c r="N135" s="26"/>
      <c r="O135" s="72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G135" s="28"/>
      <c r="AH135" s="28"/>
      <c r="AI135" s="65"/>
      <c r="AK135" s="65"/>
      <c r="AL135" s="28"/>
      <c r="AM135" s="32"/>
    </row>
    <row r="136" spans="1:39" s="27" customFormat="1" ht="12.75" customHeight="1">
      <c r="A136" s="22"/>
      <c r="B136" s="153"/>
      <c r="C136" s="8"/>
      <c r="D136" s="34"/>
      <c r="E136" s="154"/>
      <c r="F136" s="155"/>
      <c r="G136" s="23"/>
      <c r="H136" s="24"/>
      <c r="I136" s="24"/>
      <c r="J136" s="24"/>
      <c r="K136" s="25"/>
      <c r="L136" s="26"/>
      <c r="M136" s="26"/>
      <c r="N136" s="26"/>
      <c r="O136" s="72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G136" s="28"/>
      <c r="AH136" s="28"/>
      <c r="AI136" s="65"/>
      <c r="AK136" s="65"/>
      <c r="AL136" s="28"/>
      <c r="AM136" s="32"/>
    </row>
    <row r="137" spans="1:39" s="27" customFormat="1" ht="12.75" customHeight="1">
      <c r="A137" s="22"/>
      <c r="B137" s="153"/>
      <c r="C137" s="8"/>
      <c r="D137" s="34"/>
      <c r="E137" s="154"/>
      <c r="F137" s="155"/>
      <c r="G137" s="23"/>
      <c r="H137" s="24"/>
      <c r="I137" s="24"/>
      <c r="J137" s="24"/>
      <c r="K137" s="25"/>
      <c r="L137" s="26"/>
      <c r="M137" s="26"/>
      <c r="N137" s="26"/>
      <c r="O137" s="72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G137" s="28"/>
      <c r="AH137" s="28"/>
      <c r="AI137" s="65"/>
      <c r="AK137" s="65"/>
      <c r="AL137" s="28"/>
      <c r="AM137" s="32"/>
    </row>
    <row r="138" spans="1:39" s="27" customFormat="1" ht="12.75" customHeight="1">
      <c r="A138" s="22"/>
      <c r="B138" s="153"/>
      <c r="C138" s="8"/>
      <c r="D138" s="34"/>
      <c r="E138" s="154"/>
      <c r="F138" s="155"/>
      <c r="G138" s="23"/>
      <c r="H138" s="24"/>
      <c r="I138" s="24"/>
      <c r="J138" s="24"/>
      <c r="K138" s="25"/>
      <c r="L138" s="26"/>
      <c r="M138" s="26"/>
      <c r="N138" s="26"/>
      <c r="O138" s="72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G138" s="28"/>
      <c r="AH138" s="28"/>
      <c r="AI138" s="65"/>
      <c r="AK138" s="65"/>
      <c r="AL138" s="28"/>
      <c r="AM138" s="32"/>
    </row>
    <row r="139" spans="1:39" s="27" customFormat="1" ht="12.75" customHeight="1">
      <c r="A139" s="22"/>
      <c r="B139" s="153"/>
      <c r="C139" s="8"/>
      <c r="D139" s="34"/>
      <c r="E139" s="154"/>
      <c r="F139" s="155"/>
      <c r="G139" s="23"/>
      <c r="H139" s="24"/>
      <c r="I139" s="24"/>
      <c r="J139" s="24"/>
      <c r="K139" s="25"/>
      <c r="L139" s="26"/>
      <c r="M139" s="26"/>
      <c r="N139" s="26"/>
      <c r="O139" s="72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G139" s="28"/>
      <c r="AH139" s="28"/>
      <c r="AI139" s="65"/>
      <c r="AK139" s="65"/>
      <c r="AL139" s="28"/>
      <c r="AM139" s="32"/>
    </row>
    <row r="140" spans="1:39" s="27" customFormat="1" ht="12.75" customHeight="1">
      <c r="A140" s="22"/>
      <c r="B140" s="153"/>
      <c r="C140" s="8"/>
      <c r="D140" s="34"/>
      <c r="E140" s="154"/>
      <c r="F140" s="155"/>
      <c r="G140" s="23"/>
      <c r="H140" s="24"/>
      <c r="I140" s="24"/>
      <c r="J140" s="24"/>
      <c r="K140" s="25"/>
      <c r="L140" s="26"/>
      <c r="M140" s="26"/>
      <c r="N140" s="26"/>
      <c r="O140" s="72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G140" s="28"/>
      <c r="AH140" s="28"/>
      <c r="AI140" s="65"/>
      <c r="AK140" s="65"/>
      <c r="AL140" s="28"/>
      <c r="AM140" s="32"/>
    </row>
    <row r="141" spans="1:39" s="27" customFormat="1" ht="12.75" customHeight="1">
      <c r="A141" s="22"/>
      <c r="B141" s="153"/>
      <c r="C141" s="8"/>
      <c r="D141" s="34"/>
      <c r="E141" s="154"/>
      <c r="F141" s="155"/>
      <c r="G141" s="23"/>
      <c r="H141" s="24"/>
      <c r="I141" s="24"/>
      <c r="J141" s="24"/>
      <c r="K141" s="25"/>
      <c r="L141" s="26"/>
      <c r="M141" s="26"/>
      <c r="N141" s="26"/>
      <c r="O141" s="72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G141" s="28"/>
      <c r="AH141" s="28"/>
      <c r="AI141" s="65"/>
      <c r="AK141" s="65"/>
      <c r="AL141" s="28"/>
      <c r="AM141" s="32"/>
    </row>
    <row r="142" spans="1:39" s="27" customFormat="1" ht="12.75" customHeight="1">
      <c r="A142" s="22"/>
      <c r="B142" s="153"/>
      <c r="C142" s="8"/>
      <c r="D142" s="34"/>
      <c r="E142" s="154"/>
      <c r="F142" s="155"/>
      <c r="G142" s="23"/>
      <c r="H142" s="24"/>
      <c r="I142" s="24"/>
      <c r="J142" s="24"/>
      <c r="K142" s="25"/>
      <c r="L142" s="26"/>
      <c r="M142" s="26"/>
      <c r="N142" s="26"/>
      <c r="O142" s="72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G142" s="28"/>
      <c r="AH142" s="28"/>
      <c r="AI142" s="65"/>
      <c r="AK142" s="65"/>
      <c r="AL142" s="28"/>
      <c r="AM142" s="32"/>
    </row>
    <row r="143" spans="1:39" s="27" customFormat="1" ht="12.75" customHeight="1">
      <c r="A143" s="22"/>
      <c r="B143" s="153"/>
      <c r="C143" s="8"/>
      <c r="D143" s="34"/>
      <c r="E143" s="154"/>
      <c r="F143" s="155"/>
      <c r="G143" s="23"/>
      <c r="H143" s="24"/>
      <c r="I143" s="24"/>
      <c r="J143" s="24"/>
      <c r="K143" s="25"/>
      <c r="L143" s="26"/>
      <c r="M143" s="26"/>
      <c r="N143" s="26"/>
      <c r="O143" s="72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G143" s="28"/>
      <c r="AH143" s="28"/>
      <c r="AI143" s="65"/>
      <c r="AK143" s="65"/>
      <c r="AL143" s="28"/>
      <c r="AM143" s="32"/>
    </row>
    <row r="144" spans="1:39" s="27" customFormat="1" ht="12.75" customHeight="1">
      <c r="A144" s="22"/>
      <c r="B144" s="153"/>
      <c r="C144" s="8"/>
      <c r="D144" s="34"/>
      <c r="E144" s="154"/>
      <c r="F144" s="155"/>
      <c r="G144" s="23"/>
      <c r="H144" s="24"/>
      <c r="I144" s="24"/>
      <c r="J144" s="24"/>
      <c r="K144" s="25"/>
      <c r="L144" s="26"/>
      <c r="M144" s="26"/>
      <c r="N144" s="26"/>
      <c r="O144" s="72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G144" s="28"/>
      <c r="AH144" s="28"/>
      <c r="AI144" s="65"/>
      <c r="AK144" s="65"/>
      <c r="AL144" s="28"/>
      <c r="AM144" s="32"/>
    </row>
    <row r="145" spans="1:39" s="27" customFormat="1" ht="12.75" customHeight="1">
      <c r="A145" s="22"/>
      <c r="B145" s="153"/>
      <c r="C145" s="8"/>
      <c r="D145" s="34"/>
      <c r="E145" s="154"/>
      <c r="F145" s="155"/>
      <c r="G145" s="23"/>
      <c r="H145" s="24"/>
      <c r="I145" s="24"/>
      <c r="J145" s="24"/>
      <c r="K145" s="25"/>
      <c r="L145" s="26"/>
      <c r="M145" s="26"/>
      <c r="N145" s="26"/>
      <c r="O145" s="72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G145" s="28"/>
      <c r="AH145" s="28"/>
      <c r="AI145" s="65"/>
      <c r="AK145" s="65"/>
      <c r="AL145" s="28"/>
      <c r="AM145" s="32"/>
    </row>
    <row r="146" spans="1:39" s="27" customFormat="1" ht="12.75" customHeight="1">
      <c r="A146" s="22"/>
      <c r="B146" s="153"/>
      <c r="C146" s="8"/>
      <c r="D146" s="34"/>
      <c r="E146" s="154"/>
      <c r="F146" s="155"/>
      <c r="G146" s="23"/>
      <c r="H146" s="24"/>
      <c r="I146" s="24"/>
      <c r="J146" s="24"/>
      <c r="K146" s="25"/>
      <c r="L146" s="26"/>
      <c r="M146" s="26"/>
      <c r="N146" s="26"/>
      <c r="O146" s="72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G146" s="28"/>
      <c r="AH146" s="28"/>
      <c r="AI146" s="65"/>
      <c r="AK146" s="65"/>
      <c r="AL146" s="28"/>
      <c r="AM146" s="32"/>
    </row>
    <row r="147" spans="1:39" s="27" customFormat="1" ht="12.75" customHeight="1">
      <c r="A147" s="22"/>
      <c r="B147" s="153"/>
      <c r="C147" s="8"/>
      <c r="D147" s="34"/>
      <c r="E147" s="154"/>
      <c r="F147" s="155"/>
      <c r="G147" s="23"/>
      <c r="H147" s="24"/>
      <c r="I147" s="24"/>
      <c r="J147" s="24"/>
      <c r="K147" s="25"/>
      <c r="L147" s="26"/>
      <c r="M147" s="26"/>
      <c r="N147" s="26"/>
      <c r="O147" s="72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G147" s="28"/>
      <c r="AH147" s="28"/>
      <c r="AI147" s="65"/>
      <c r="AK147" s="65"/>
      <c r="AL147" s="28"/>
      <c r="AM147" s="32"/>
    </row>
    <row r="148" spans="1:39" s="27" customFormat="1" ht="12.75" customHeight="1">
      <c r="A148" s="22"/>
      <c r="B148" s="153"/>
      <c r="C148" s="8"/>
      <c r="D148" s="34"/>
      <c r="E148" s="154"/>
      <c r="F148" s="155"/>
      <c r="G148" s="23"/>
      <c r="H148" s="24"/>
      <c r="I148" s="24"/>
      <c r="J148" s="24"/>
      <c r="K148" s="25"/>
      <c r="L148" s="26"/>
      <c r="M148" s="26"/>
      <c r="N148" s="26"/>
      <c r="O148" s="72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G148" s="28"/>
      <c r="AH148" s="28"/>
      <c r="AI148" s="65"/>
      <c r="AK148" s="65"/>
      <c r="AL148" s="28"/>
      <c r="AM148" s="32"/>
    </row>
    <row r="149" spans="1:39" s="27" customFormat="1" ht="12.75" customHeight="1">
      <c r="A149" s="22"/>
      <c r="B149" s="153"/>
      <c r="C149" s="8"/>
      <c r="D149" s="34"/>
      <c r="E149" s="154"/>
      <c r="F149" s="155"/>
      <c r="G149" s="23"/>
      <c r="H149" s="24"/>
      <c r="I149" s="24"/>
      <c r="J149" s="24"/>
      <c r="K149" s="25"/>
      <c r="L149" s="26"/>
      <c r="M149" s="26"/>
      <c r="N149" s="26"/>
      <c r="O149" s="72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G149" s="28"/>
      <c r="AH149" s="28"/>
      <c r="AI149" s="65"/>
      <c r="AK149" s="65"/>
      <c r="AL149" s="28"/>
      <c r="AM149" s="32"/>
    </row>
    <row r="150" spans="1:39" s="27" customFormat="1" ht="12.75" customHeight="1">
      <c r="A150" s="22"/>
      <c r="B150" s="153"/>
      <c r="C150" s="8"/>
      <c r="D150" s="34"/>
      <c r="E150" s="154"/>
      <c r="F150" s="155"/>
      <c r="G150" s="23"/>
      <c r="H150" s="24"/>
      <c r="I150" s="24"/>
      <c r="J150" s="24"/>
      <c r="K150" s="25"/>
      <c r="L150" s="26"/>
      <c r="M150" s="26"/>
      <c r="N150" s="26"/>
      <c r="O150" s="72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G150" s="28"/>
      <c r="AH150" s="28"/>
      <c r="AI150" s="65"/>
      <c r="AK150" s="65"/>
      <c r="AL150" s="28"/>
      <c r="AM150" s="32"/>
    </row>
    <row r="151" spans="1:39" s="27" customFormat="1" ht="12.75" customHeight="1">
      <c r="A151" s="22"/>
      <c r="B151" s="153"/>
      <c r="C151" s="8"/>
      <c r="D151" s="34"/>
      <c r="E151" s="154"/>
      <c r="F151" s="155"/>
      <c r="G151" s="23"/>
      <c r="H151" s="24"/>
      <c r="I151" s="24"/>
      <c r="J151" s="24"/>
      <c r="K151" s="25"/>
      <c r="L151" s="26"/>
      <c r="M151" s="26"/>
      <c r="N151" s="26"/>
      <c r="O151" s="72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G151" s="28"/>
      <c r="AH151" s="28"/>
      <c r="AI151" s="65"/>
      <c r="AK151" s="65"/>
      <c r="AL151" s="28"/>
      <c r="AM151" s="32"/>
    </row>
    <row r="152" spans="1:39" s="27" customFormat="1" ht="12.75" customHeight="1">
      <c r="A152" s="22"/>
      <c r="B152" s="153"/>
      <c r="C152" s="8"/>
      <c r="D152" s="34"/>
      <c r="E152" s="154"/>
      <c r="F152" s="155"/>
      <c r="G152" s="23"/>
      <c r="H152" s="24"/>
      <c r="I152" s="24"/>
      <c r="J152" s="24"/>
      <c r="K152" s="25"/>
      <c r="L152" s="26"/>
      <c r="M152" s="26"/>
      <c r="N152" s="26"/>
      <c r="O152" s="72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G152" s="28"/>
      <c r="AH152" s="28"/>
      <c r="AI152" s="65"/>
      <c r="AK152" s="65"/>
      <c r="AL152" s="28"/>
      <c r="AM152" s="32"/>
    </row>
    <row r="153" spans="1:39" s="27" customFormat="1" ht="12.75" customHeight="1">
      <c r="A153" s="22"/>
      <c r="B153" s="153"/>
      <c r="C153" s="8"/>
      <c r="D153" s="34"/>
      <c r="E153" s="154"/>
      <c r="F153" s="155"/>
      <c r="G153" s="23"/>
      <c r="H153" s="24"/>
      <c r="I153" s="24"/>
      <c r="J153" s="24"/>
      <c r="K153" s="25"/>
      <c r="L153" s="26"/>
      <c r="M153" s="26"/>
      <c r="N153" s="26"/>
      <c r="O153" s="72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G153" s="28"/>
      <c r="AH153" s="28"/>
      <c r="AI153" s="65"/>
      <c r="AK153" s="65"/>
      <c r="AL153" s="28"/>
      <c r="AM153" s="32"/>
    </row>
    <row r="154" spans="1:39" s="27" customFormat="1" ht="12.75" customHeight="1">
      <c r="A154" s="22"/>
      <c r="B154" s="153"/>
      <c r="C154" s="8"/>
      <c r="D154" s="34"/>
      <c r="E154" s="154"/>
      <c r="F154" s="155"/>
      <c r="G154" s="23"/>
      <c r="H154" s="24"/>
      <c r="I154" s="24"/>
      <c r="J154" s="24"/>
      <c r="K154" s="25"/>
      <c r="L154" s="26"/>
      <c r="M154" s="26"/>
      <c r="N154" s="26"/>
      <c r="O154" s="72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G154" s="28"/>
      <c r="AH154" s="28"/>
      <c r="AI154" s="65"/>
      <c r="AK154" s="65"/>
      <c r="AL154" s="28"/>
      <c r="AM154" s="32"/>
    </row>
    <row r="155" spans="1:39" s="27" customFormat="1" ht="12.75" customHeight="1">
      <c r="A155" s="22"/>
      <c r="B155" s="153"/>
      <c r="C155" s="8"/>
      <c r="D155" s="34"/>
      <c r="E155" s="154"/>
      <c r="F155" s="155"/>
      <c r="G155" s="23"/>
      <c r="H155" s="24"/>
      <c r="I155" s="24"/>
      <c r="J155" s="24"/>
      <c r="K155" s="25"/>
      <c r="L155" s="26"/>
      <c r="M155" s="26"/>
      <c r="N155" s="26"/>
      <c r="O155" s="72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G155" s="28"/>
      <c r="AH155" s="28"/>
      <c r="AI155" s="65"/>
      <c r="AK155" s="65"/>
      <c r="AL155" s="28"/>
      <c r="AM155" s="32"/>
    </row>
    <row r="156" spans="1:39" s="27" customFormat="1" ht="12.75" customHeight="1">
      <c r="A156" s="22"/>
      <c r="B156" s="153"/>
      <c r="C156" s="8"/>
      <c r="D156" s="34"/>
      <c r="E156" s="154"/>
      <c r="F156" s="155"/>
      <c r="G156" s="23"/>
      <c r="H156" s="24"/>
      <c r="I156" s="24"/>
      <c r="J156" s="24"/>
      <c r="K156" s="25"/>
      <c r="L156" s="26"/>
      <c r="M156" s="26"/>
      <c r="N156" s="26"/>
      <c r="O156" s="72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G156" s="28"/>
      <c r="AH156" s="28"/>
      <c r="AI156" s="65"/>
      <c r="AK156" s="65"/>
      <c r="AL156" s="28"/>
      <c r="AM156" s="32"/>
    </row>
    <row r="157" spans="1:39" s="27" customFormat="1" ht="12.75" customHeight="1">
      <c r="A157" s="22"/>
      <c r="B157" s="153"/>
      <c r="C157" s="8"/>
      <c r="D157" s="34"/>
      <c r="E157" s="154"/>
      <c r="F157" s="155"/>
      <c r="G157" s="23"/>
      <c r="H157" s="24"/>
      <c r="I157" s="24"/>
      <c r="J157" s="24"/>
      <c r="K157" s="25"/>
      <c r="L157" s="26"/>
      <c r="M157" s="26"/>
      <c r="N157" s="26"/>
      <c r="O157" s="72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G157" s="28"/>
      <c r="AH157" s="28"/>
      <c r="AI157" s="65"/>
      <c r="AK157" s="65"/>
      <c r="AL157" s="28"/>
      <c r="AM157" s="32"/>
    </row>
    <row r="158" spans="1:39" s="27" customFormat="1" ht="12.75" customHeight="1">
      <c r="A158" s="22"/>
      <c r="B158" s="153"/>
      <c r="C158" s="8"/>
      <c r="D158" s="34"/>
      <c r="E158" s="154"/>
      <c r="F158" s="155"/>
      <c r="G158" s="23"/>
      <c r="H158" s="24"/>
      <c r="I158" s="24"/>
      <c r="J158" s="24"/>
      <c r="K158" s="25"/>
      <c r="L158" s="26"/>
      <c r="M158" s="26"/>
      <c r="N158" s="26"/>
      <c r="O158" s="72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G158" s="28"/>
      <c r="AH158" s="28"/>
      <c r="AI158" s="65"/>
      <c r="AK158" s="65"/>
      <c r="AL158" s="28"/>
      <c r="AM158" s="32"/>
    </row>
    <row r="159" spans="1:39" s="27" customFormat="1" ht="12.75" customHeight="1">
      <c r="A159" s="22"/>
      <c r="B159" s="153"/>
      <c r="C159" s="8"/>
      <c r="D159" s="34"/>
      <c r="E159" s="154"/>
      <c r="F159" s="155"/>
      <c r="G159" s="23"/>
      <c r="H159" s="24"/>
      <c r="I159" s="24"/>
      <c r="J159" s="24"/>
      <c r="K159" s="25"/>
      <c r="L159" s="26"/>
      <c r="M159" s="26"/>
      <c r="N159" s="26"/>
      <c r="O159" s="72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G159" s="28"/>
      <c r="AH159" s="28"/>
      <c r="AI159" s="65"/>
      <c r="AK159" s="65"/>
      <c r="AL159" s="28"/>
      <c r="AM159" s="32"/>
    </row>
    <row r="160" spans="1:39" s="27" customFormat="1" ht="12.75" customHeight="1">
      <c r="A160" s="22"/>
      <c r="B160" s="153"/>
      <c r="C160" s="8"/>
      <c r="D160" s="34"/>
      <c r="E160" s="154"/>
      <c r="F160" s="155"/>
      <c r="G160" s="23"/>
      <c r="H160" s="24"/>
      <c r="I160" s="24"/>
      <c r="J160" s="24"/>
      <c r="K160" s="25"/>
      <c r="L160" s="26"/>
      <c r="M160" s="26"/>
      <c r="N160" s="26"/>
      <c r="O160" s="72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G160" s="28"/>
      <c r="AH160" s="28"/>
      <c r="AI160" s="65"/>
      <c r="AK160" s="65"/>
      <c r="AL160" s="28"/>
      <c r="AM160" s="32"/>
    </row>
    <row r="161" spans="1:39" s="27" customFormat="1" ht="12.75" customHeight="1">
      <c r="A161" s="22"/>
      <c r="B161" s="153"/>
      <c r="C161" s="8"/>
      <c r="D161" s="34"/>
      <c r="E161" s="154"/>
      <c r="F161" s="155"/>
      <c r="G161" s="23"/>
      <c r="H161" s="24"/>
      <c r="I161" s="24"/>
      <c r="J161" s="24"/>
      <c r="K161" s="25"/>
      <c r="L161" s="26"/>
      <c r="M161" s="26"/>
      <c r="N161" s="26"/>
      <c r="O161" s="72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G161" s="28"/>
      <c r="AH161" s="28"/>
      <c r="AI161" s="65"/>
      <c r="AK161" s="65"/>
      <c r="AL161" s="28"/>
      <c r="AM161" s="32"/>
    </row>
    <row r="162" spans="1:39" s="27" customFormat="1" ht="12.75" customHeight="1">
      <c r="A162" s="22"/>
      <c r="B162" s="153"/>
      <c r="C162" s="8"/>
      <c r="D162" s="34"/>
      <c r="E162" s="154"/>
      <c r="F162" s="155"/>
      <c r="G162" s="23"/>
      <c r="H162" s="24"/>
      <c r="I162" s="24"/>
      <c r="J162" s="24"/>
      <c r="K162" s="25"/>
      <c r="L162" s="26"/>
      <c r="M162" s="26"/>
      <c r="N162" s="26"/>
      <c r="O162" s="72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G162" s="28"/>
      <c r="AH162" s="28"/>
      <c r="AI162" s="65"/>
      <c r="AK162" s="65"/>
      <c r="AL162" s="28"/>
      <c r="AM162" s="32"/>
    </row>
    <row r="163" spans="1:39" s="27" customFormat="1" ht="12.75" customHeight="1">
      <c r="A163" s="22"/>
      <c r="B163" s="153"/>
      <c r="C163" s="8"/>
      <c r="D163" s="34"/>
      <c r="E163" s="154"/>
      <c r="F163" s="155"/>
      <c r="G163" s="23"/>
      <c r="H163" s="24"/>
      <c r="I163" s="24"/>
      <c r="J163" s="24"/>
      <c r="K163" s="25"/>
      <c r="L163" s="26"/>
      <c r="M163" s="26"/>
      <c r="N163" s="26"/>
      <c r="O163" s="72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G163" s="28"/>
      <c r="AH163" s="28"/>
      <c r="AI163" s="65"/>
      <c r="AK163" s="65"/>
      <c r="AL163" s="28"/>
      <c r="AM163" s="32"/>
    </row>
    <row r="164" spans="1:39" s="27" customFormat="1" ht="12.75" customHeight="1">
      <c r="A164" s="22"/>
      <c r="B164" s="153"/>
      <c r="C164" s="8"/>
      <c r="D164" s="34"/>
      <c r="E164" s="154"/>
      <c r="F164" s="155"/>
      <c r="G164" s="23"/>
      <c r="H164" s="24"/>
      <c r="I164" s="24"/>
      <c r="J164" s="24"/>
      <c r="K164" s="25"/>
      <c r="L164" s="26"/>
      <c r="M164" s="26"/>
      <c r="N164" s="26"/>
      <c r="O164" s="72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G164" s="28"/>
      <c r="AH164" s="28"/>
      <c r="AI164" s="65"/>
      <c r="AK164" s="65"/>
      <c r="AL164" s="28"/>
      <c r="AM164" s="32"/>
    </row>
    <row r="165" spans="1:39" s="27" customFormat="1" ht="12.75" customHeight="1">
      <c r="A165" s="22"/>
      <c r="B165" s="153"/>
      <c r="C165" s="8"/>
      <c r="D165" s="34"/>
      <c r="E165" s="154"/>
      <c r="F165" s="155"/>
      <c r="G165" s="23"/>
      <c r="H165" s="24"/>
      <c r="I165" s="24"/>
      <c r="J165" s="24"/>
      <c r="K165" s="25"/>
      <c r="L165" s="26"/>
      <c r="M165" s="26"/>
      <c r="N165" s="26"/>
      <c r="O165" s="72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G165" s="28"/>
      <c r="AH165" s="28"/>
      <c r="AI165" s="65"/>
      <c r="AK165" s="65"/>
      <c r="AL165" s="28"/>
      <c r="AM165" s="32"/>
    </row>
    <row r="166" spans="1:39" s="27" customFormat="1" ht="12.75" customHeight="1">
      <c r="A166" s="22"/>
      <c r="B166" s="153"/>
      <c r="C166" s="8"/>
      <c r="D166" s="34"/>
      <c r="E166" s="154"/>
      <c r="F166" s="155"/>
      <c r="G166" s="23"/>
      <c r="H166" s="24"/>
      <c r="I166" s="24"/>
      <c r="J166" s="24"/>
      <c r="K166" s="25"/>
      <c r="L166" s="26"/>
      <c r="M166" s="26"/>
      <c r="N166" s="26"/>
      <c r="O166" s="72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G166" s="28"/>
      <c r="AH166" s="28"/>
      <c r="AI166" s="65"/>
      <c r="AK166" s="65"/>
      <c r="AL166" s="28"/>
      <c r="AM166" s="32"/>
    </row>
    <row r="167" spans="1:39" s="27" customFormat="1" ht="12.75" customHeight="1">
      <c r="A167" s="22"/>
      <c r="B167" s="153"/>
      <c r="C167" s="8"/>
      <c r="D167" s="34"/>
      <c r="E167" s="154"/>
      <c r="F167" s="155"/>
      <c r="G167" s="23"/>
      <c r="H167" s="24"/>
      <c r="I167" s="24"/>
      <c r="J167" s="24"/>
      <c r="K167" s="25"/>
      <c r="L167" s="26"/>
      <c r="M167" s="26"/>
      <c r="N167" s="26"/>
      <c r="O167" s="72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G167" s="28"/>
      <c r="AH167" s="28"/>
      <c r="AI167" s="65"/>
      <c r="AK167" s="65"/>
      <c r="AL167" s="28"/>
      <c r="AM167" s="32"/>
    </row>
    <row r="168" spans="1:39" s="27" customFormat="1" ht="12.75" customHeight="1">
      <c r="A168" s="22"/>
      <c r="B168" s="153"/>
      <c r="C168" s="8"/>
      <c r="D168" s="34"/>
      <c r="E168" s="154"/>
      <c r="F168" s="155"/>
      <c r="G168" s="23"/>
      <c r="H168" s="24"/>
      <c r="I168" s="24"/>
      <c r="J168" s="24"/>
      <c r="K168" s="25"/>
      <c r="L168" s="26"/>
      <c r="M168" s="26"/>
      <c r="N168" s="26"/>
      <c r="O168" s="72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G168" s="28"/>
      <c r="AH168" s="28"/>
      <c r="AI168" s="65"/>
      <c r="AK168" s="65"/>
      <c r="AL168" s="28"/>
      <c r="AM168" s="32"/>
    </row>
    <row r="169" spans="1:39" s="27" customFormat="1" ht="12.75" customHeight="1">
      <c r="A169" s="22"/>
      <c r="B169" s="153"/>
      <c r="C169" s="8"/>
      <c r="D169" s="34"/>
      <c r="E169" s="154"/>
      <c r="F169" s="155"/>
      <c r="G169" s="23"/>
      <c r="H169" s="24"/>
      <c r="I169" s="24"/>
      <c r="J169" s="24"/>
      <c r="K169" s="25"/>
      <c r="L169" s="26"/>
      <c r="M169" s="26"/>
      <c r="N169" s="26"/>
      <c r="O169" s="72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G169" s="28"/>
      <c r="AH169" s="28"/>
      <c r="AI169" s="65"/>
      <c r="AK169" s="65"/>
      <c r="AL169" s="28"/>
      <c r="AM169" s="32"/>
    </row>
    <row r="170" spans="1:39" s="27" customFormat="1" ht="12.75" customHeight="1">
      <c r="A170" s="22"/>
      <c r="B170" s="153"/>
      <c r="C170" s="8"/>
      <c r="D170" s="34"/>
      <c r="E170" s="154"/>
      <c r="F170" s="155"/>
      <c r="G170" s="23"/>
      <c r="H170" s="24"/>
      <c r="I170" s="24"/>
      <c r="J170" s="24"/>
      <c r="K170" s="25"/>
      <c r="L170" s="26"/>
      <c r="M170" s="26"/>
      <c r="N170" s="26"/>
      <c r="O170" s="72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G170" s="28"/>
      <c r="AH170" s="28"/>
      <c r="AI170" s="65"/>
      <c r="AK170" s="65"/>
      <c r="AL170" s="28"/>
      <c r="AM170" s="32"/>
    </row>
    <row r="171" spans="1:39" s="27" customFormat="1" ht="12.75" customHeight="1">
      <c r="A171" s="22"/>
      <c r="B171" s="153"/>
      <c r="C171" s="8"/>
      <c r="D171" s="34"/>
      <c r="E171" s="154"/>
      <c r="F171" s="155"/>
      <c r="G171" s="23"/>
      <c r="H171" s="24"/>
      <c r="I171" s="24"/>
      <c r="J171" s="24"/>
      <c r="K171" s="25"/>
      <c r="L171" s="26"/>
      <c r="M171" s="26"/>
      <c r="N171" s="26"/>
      <c r="O171" s="72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G171" s="28"/>
      <c r="AH171" s="28"/>
      <c r="AI171" s="65"/>
      <c r="AK171" s="65"/>
      <c r="AL171" s="28"/>
      <c r="AM171" s="32"/>
    </row>
    <row r="172" spans="1:39" s="27" customFormat="1" ht="12.75" customHeight="1">
      <c r="A172" s="22"/>
      <c r="B172" s="153"/>
      <c r="C172" s="8"/>
      <c r="D172" s="34"/>
      <c r="E172" s="154"/>
      <c r="F172" s="155"/>
      <c r="G172" s="23"/>
      <c r="H172" s="24"/>
      <c r="I172" s="24"/>
      <c r="J172" s="24"/>
      <c r="K172" s="25"/>
      <c r="L172" s="26"/>
      <c r="M172" s="26"/>
      <c r="N172" s="26"/>
      <c r="O172" s="72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G172" s="28"/>
      <c r="AH172" s="28"/>
      <c r="AI172" s="65"/>
      <c r="AK172" s="65"/>
      <c r="AL172" s="28"/>
      <c r="AM172" s="32"/>
    </row>
    <row r="173" spans="1:39" s="27" customFormat="1" ht="12.75" customHeight="1">
      <c r="A173" s="22"/>
      <c r="B173" s="153"/>
      <c r="C173" s="8"/>
      <c r="D173" s="34"/>
      <c r="E173" s="154"/>
      <c r="F173" s="155"/>
      <c r="G173" s="23"/>
      <c r="H173" s="24"/>
      <c r="I173" s="24"/>
      <c r="J173" s="24"/>
      <c r="K173" s="25"/>
      <c r="L173" s="26"/>
      <c r="M173" s="26"/>
      <c r="N173" s="26"/>
      <c r="O173" s="72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G173" s="28"/>
      <c r="AH173" s="28"/>
      <c r="AI173" s="65"/>
      <c r="AK173" s="65"/>
      <c r="AL173" s="28"/>
      <c r="AM173" s="32"/>
    </row>
    <row r="174" spans="1:39" s="27" customFormat="1" ht="12.75" customHeight="1">
      <c r="A174" s="22"/>
      <c r="B174" s="153"/>
      <c r="C174" s="8"/>
      <c r="D174" s="34"/>
      <c r="E174" s="154"/>
      <c r="F174" s="155"/>
      <c r="G174" s="23"/>
      <c r="H174" s="24"/>
      <c r="I174" s="24"/>
      <c r="J174" s="24"/>
      <c r="K174" s="25"/>
      <c r="L174" s="26"/>
      <c r="M174" s="26"/>
      <c r="N174" s="26"/>
      <c r="O174" s="72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G174" s="28"/>
      <c r="AH174" s="28"/>
      <c r="AI174" s="65"/>
      <c r="AK174" s="65"/>
      <c r="AL174" s="28"/>
      <c r="AM174" s="32"/>
    </row>
    <row r="175" spans="1:39" s="27" customFormat="1" ht="12.75" customHeight="1">
      <c r="A175" s="22"/>
      <c r="B175" s="153"/>
      <c r="C175" s="8"/>
      <c r="D175" s="34"/>
      <c r="E175" s="154"/>
      <c r="F175" s="155"/>
      <c r="G175" s="23"/>
      <c r="H175" s="24"/>
      <c r="I175" s="24"/>
      <c r="J175" s="24"/>
      <c r="K175" s="25"/>
      <c r="L175" s="26"/>
      <c r="M175" s="26"/>
      <c r="N175" s="26"/>
      <c r="O175" s="72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G175" s="28"/>
      <c r="AH175" s="28"/>
      <c r="AI175" s="65"/>
      <c r="AK175" s="65"/>
      <c r="AL175" s="28"/>
      <c r="AM175" s="32"/>
    </row>
    <row r="176" spans="1:39" s="27" customFormat="1" ht="12.75" customHeight="1">
      <c r="A176" s="22"/>
      <c r="B176" s="153"/>
      <c r="C176" s="8"/>
      <c r="D176" s="34"/>
      <c r="E176" s="154"/>
      <c r="F176" s="155"/>
      <c r="G176" s="23"/>
      <c r="H176" s="24"/>
      <c r="I176" s="24"/>
      <c r="J176" s="24"/>
      <c r="K176" s="25"/>
      <c r="L176" s="26"/>
      <c r="M176" s="26"/>
      <c r="N176" s="26"/>
      <c r="O176" s="72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G176" s="28"/>
      <c r="AH176" s="28"/>
      <c r="AI176" s="65"/>
      <c r="AK176" s="65"/>
      <c r="AL176" s="28"/>
      <c r="AM176" s="32"/>
    </row>
    <row r="177" spans="1:39" s="27" customFormat="1" ht="12.75" customHeight="1">
      <c r="A177" s="22"/>
      <c r="B177" s="153"/>
      <c r="C177" s="8"/>
      <c r="D177" s="34"/>
      <c r="E177" s="154"/>
      <c r="F177" s="155"/>
      <c r="G177" s="23"/>
      <c r="H177" s="24"/>
      <c r="I177" s="24"/>
      <c r="J177" s="24"/>
      <c r="K177" s="25"/>
      <c r="L177" s="26"/>
      <c r="M177" s="26"/>
      <c r="N177" s="26"/>
      <c r="O177" s="72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G177" s="28"/>
      <c r="AH177" s="28"/>
      <c r="AI177" s="65"/>
      <c r="AK177" s="65"/>
      <c r="AL177" s="28"/>
      <c r="AM177" s="32"/>
    </row>
    <row r="178" spans="1:39" s="27" customFormat="1" ht="12.75" customHeight="1">
      <c r="A178" s="22"/>
      <c r="B178" s="153"/>
      <c r="C178" s="8"/>
      <c r="D178" s="34"/>
      <c r="E178" s="154"/>
      <c r="F178" s="155"/>
      <c r="G178" s="23"/>
      <c r="H178" s="24"/>
      <c r="I178" s="24"/>
      <c r="J178" s="24"/>
      <c r="K178" s="25"/>
      <c r="L178" s="26"/>
      <c r="M178" s="26"/>
      <c r="N178" s="26"/>
      <c r="O178" s="72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G178" s="28"/>
      <c r="AH178" s="28"/>
      <c r="AI178" s="65"/>
      <c r="AK178" s="65"/>
      <c r="AL178" s="28"/>
      <c r="AM178" s="32"/>
    </row>
    <row r="179" spans="1:39" s="27" customFormat="1" ht="12.75" customHeight="1">
      <c r="A179" s="22"/>
      <c r="B179" s="153"/>
      <c r="C179" s="8"/>
      <c r="D179" s="34"/>
      <c r="E179" s="154"/>
      <c r="F179" s="155"/>
      <c r="G179" s="23"/>
      <c r="H179" s="24"/>
      <c r="I179" s="24"/>
      <c r="J179" s="24"/>
      <c r="K179" s="25"/>
      <c r="L179" s="26"/>
      <c r="M179" s="26"/>
      <c r="N179" s="26"/>
      <c r="O179" s="72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G179" s="28"/>
      <c r="AH179" s="28"/>
      <c r="AI179" s="65"/>
      <c r="AK179" s="65"/>
      <c r="AL179" s="28"/>
      <c r="AM179" s="32"/>
    </row>
    <row r="180" spans="1:39" s="27" customFormat="1" ht="12.75" customHeight="1">
      <c r="A180" s="22"/>
      <c r="B180" s="153"/>
      <c r="C180" s="8"/>
      <c r="D180" s="34"/>
      <c r="E180" s="154"/>
      <c r="F180" s="155"/>
      <c r="G180" s="23"/>
      <c r="H180" s="24"/>
      <c r="I180" s="24"/>
      <c r="J180" s="24"/>
      <c r="K180" s="25"/>
      <c r="L180" s="26"/>
      <c r="M180" s="26"/>
      <c r="N180" s="26"/>
      <c r="O180" s="72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G180" s="28"/>
      <c r="AH180" s="28"/>
      <c r="AI180" s="65"/>
      <c r="AK180" s="65"/>
      <c r="AL180" s="28"/>
      <c r="AM180" s="32"/>
    </row>
    <row r="181" spans="1:39" s="27" customFormat="1" ht="12.75" customHeight="1">
      <c r="A181" s="22"/>
      <c r="B181" s="153"/>
      <c r="C181" s="8"/>
      <c r="D181" s="34"/>
      <c r="E181" s="154"/>
      <c r="F181" s="155"/>
      <c r="G181" s="23"/>
      <c r="H181" s="24"/>
      <c r="I181" s="24"/>
      <c r="J181" s="24"/>
      <c r="K181" s="25"/>
      <c r="L181" s="26"/>
      <c r="M181" s="26"/>
      <c r="N181" s="26"/>
      <c r="O181" s="72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G181" s="28"/>
      <c r="AH181" s="28"/>
      <c r="AI181" s="65"/>
      <c r="AK181" s="65"/>
      <c r="AL181" s="28"/>
      <c r="AM181" s="32"/>
    </row>
    <row r="182" spans="1:39" s="27" customFormat="1" ht="12.75" customHeight="1">
      <c r="A182" s="22"/>
      <c r="B182" s="153"/>
      <c r="C182" s="8"/>
      <c r="D182" s="34"/>
      <c r="E182" s="154"/>
      <c r="F182" s="155"/>
      <c r="G182" s="23"/>
      <c r="H182" s="24"/>
      <c r="I182" s="24"/>
      <c r="J182" s="24"/>
      <c r="K182" s="25"/>
      <c r="L182" s="26"/>
      <c r="M182" s="26"/>
      <c r="N182" s="26"/>
      <c r="O182" s="72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G182" s="28"/>
      <c r="AH182" s="28"/>
      <c r="AI182" s="65"/>
      <c r="AK182" s="65"/>
      <c r="AL182" s="28"/>
      <c r="AM182" s="32"/>
    </row>
    <row r="183" spans="1:39" s="27" customFormat="1" ht="12.75" customHeight="1">
      <c r="A183" s="22"/>
      <c r="B183" s="153"/>
      <c r="C183" s="8"/>
      <c r="D183" s="34"/>
      <c r="E183" s="154"/>
      <c r="F183" s="155"/>
      <c r="G183" s="23"/>
      <c r="H183" s="24"/>
      <c r="I183" s="24"/>
      <c r="J183" s="24"/>
      <c r="K183" s="25"/>
      <c r="L183" s="26"/>
      <c r="M183" s="26"/>
      <c r="N183" s="26"/>
      <c r="O183" s="72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G183" s="28"/>
      <c r="AH183" s="28"/>
      <c r="AI183" s="65"/>
      <c r="AK183" s="65"/>
      <c r="AL183" s="28"/>
      <c r="AM183" s="32"/>
    </row>
    <row r="184" spans="1:39" s="27" customFormat="1" ht="12.75" customHeight="1">
      <c r="A184" s="22"/>
      <c r="B184" s="153"/>
      <c r="C184" s="8"/>
      <c r="D184" s="34"/>
      <c r="E184" s="154"/>
      <c r="F184" s="155"/>
      <c r="G184" s="23"/>
      <c r="H184" s="24"/>
      <c r="I184" s="24"/>
      <c r="J184" s="24"/>
      <c r="K184" s="25"/>
      <c r="L184" s="26"/>
      <c r="M184" s="26"/>
      <c r="N184" s="26"/>
      <c r="O184" s="72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G184" s="28"/>
      <c r="AH184" s="28"/>
      <c r="AI184" s="65"/>
      <c r="AK184" s="65"/>
      <c r="AL184" s="28"/>
      <c r="AM184" s="32"/>
    </row>
    <row r="185" spans="1:39" s="27" customFormat="1" ht="12.75" customHeight="1">
      <c r="A185" s="22"/>
      <c r="B185" s="153"/>
      <c r="C185" s="8"/>
      <c r="D185" s="34"/>
      <c r="E185" s="154"/>
      <c r="F185" s="155"/>
      <c r="G185" s="23"/>
      <c r="H185" s="24"/>
      <c r="I185" s="24"/>
      <c r="J185" s="24"/>
      <c r="K185" s="25"/>
      <c r="L185" s="26"/>
      <c r="M185" s="26"/>
      <c r="N185" s="26"/>
      <c r="O185" s="72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G185" s="28"/>
      <c r="AH185" s="28"/>
      <c r="AI185" s="65"/>
      <c r="AK185" s="65"/>
      <c r="AL185" s="28"/>
      <c r="AM185" s="32"/>
    </row>
    <row r="186" spans="1:39" s="27" customFormat="1" ht="12.75" customHeight="1">
      <c r="A186" s="22"/>
      <c r="B186" s="153"/>
      <c r="C186" s="8"/>
      <c r="D186" s="34"/>
      <c r="E186" s="154"/>
      <c r="F186" s="155"/>
      <c r="G186" s="23"/>
      <c r="H186" s="24"/>
      <c r="I186" s="24"/>
      <c r="J186" s="24"/>
      <c r="K186" s="25"/>
      <c r="L186" s="26"/>
      <c r="M186" s="26"/>
      <c r="N186" s="26"/>
      <c r="O186" s="72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G186" s="28"/>
      <c r="AH186" s="28"/>
      <c r="AI186" s="65"/>
      <c r="AK186" s="65"/>
      <c r="AL186" s="28"/>
      <c r="AM186" s="32"/>
    </row>
    <row r="187" spans="1:39" s="27" customFormat="1" ht="12.75" customHeight="1">
      <c r="A187" s="22"/>
      <c r="B187" s="153"/>
      <c r="C187" s="8"/>
      <c r="D187" s="34"/>
      <c r="E187" s="154"/>
      <c r="F187" s="155"/>
      <c r="G187" s="23"/>
      <c r="H187" s="24"/>
      <c r="I187" s="24"/>
      <c r="J187" s="24"/>
      <c r="K187" s="25"/>
      <c r="L187" s="26"/>
      <c r="M187" s="26"/>
      <c r="N187" s="26"/>
      <c r="O187" s="72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G187" s="28"/>
      <c r="AH187" s="28"/>
      <c r="AI187" s="65"/>
      <c r="AK187" s="65"/>
      <c r="AL187" s="28"/>
      <c r="AM187" s="32"/>
    </row>
    <row r="188" spans="1:39" s="27" customFormat="1" ht="12.75" customHeight="1">
      <c r="A188" s="22"/>
      <c r="B188" s="153"/>
      <c r="C188" s="8"/>
      <c r="D188" s="34"/>
      <c r="E188" s="154"/>
      <c r="F188" s="155"/>
      <c r="G188" s="23"/>
      <c r="H188" s="24"/>
      <c r="I188" s="24"/>
      <c r="J188" s="24"/>
      <c r="K188" s="25"/>
      <c r="L188" s="26"/>
      <c r="M188" s="26"/>
      <c r="N188" s="26"/>
      <c r="O188" s="72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G188" s="28"/>
      <c r="AH188" s="28"/>
      <c r="AI188" s="65"/>
      <c r="AK188" s="65"/>
      <c r="AL188" s="28"/>
      <c r="AM188" s="32"/>
    </row>
    <row r="189" spans="1:39" s="27" customFormat="1" ht="12.75" customHeight="1">
      <c r="A189" s="22"/>
      <c r="B189" s="153"/>
      <c r="C189" s="8"/>
      <c r="D189" s="34"/>
      <c r="E189" s="154"/>
      <c r="F189" s="155"/>
      <c r="G189" s="23"/>
      <c r="H189" s="24"/>
      <c r="I189" s="24"/>
      <c r="J189" s="24"/>
      <c r="K189" s="25"/>
      <c r="L189" s="26"/>
      <c r="M189" s="26"/>
      <c r="N189" s="26"/>
      <c r="O189" s="72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G189" s="28"/>
      <c r="AH189" s="28"/>
      <c r="AI189" s="65"/>
      <c r="AK189" s="65"/>
      <c r="AL189" s="28"/>
      <c r="AM189" s="32"/>
    </row>
    <row r="190" spans="1:39" s="27" customFormat="1" ht="12.75" customHeight="1">
      <c r="A190" s="22"/>
      <c r="B190" s="153"/>
      <c r="C190" s="8"/>
      <c r="D190" s="34"/>
      <c r="E190" s="154"/>
      <c r="F190" s="155"/>
      <c r="G190" s="23"/>
      <c r="H190" s="24"/>
      <c r="I190" s="24"/>
      <c r="J190" s="24"/>
      <c r="K190" s="25"/>
      <c r="L190" s="26"/>
      <c r="M190" s="26"/>
      <c r="N190" s="26"/>
      <c r="O190" s="72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G190" s="28"/>
      <c r="AH190" s="28"/>
      <c r="AI190" s="65"/>
      <c r="AK190" s="65"/>
      <c r="AL190" s="28"/>
      <c r="AM190" s="32"/>
    </row>
    <row r="191" spans="1:39" s="27" customFormat="1" ht="12.75" customHeight="1">
      <c r="A191" s="22"/>
      <c r="B191" s="153"/>
      <c r="C191" s="8"/>
      <c r="D191" s="34"/>
      <c r="E191" s="154"/>
      <c r="F191" s="155"/>
      <c r="G191" s="23"/>
      <c r="H191" s="24"/>
      <c r="I191" s="24"/>
      <c r="J191" s="24"/>
      <c r="K191" s="25"/>
      <c r="L191" s="26"/>
      <c r="M191" s="26"/>
      <c r="N191" s="26"/>
      <c r="O191" s="72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G191" s="28"/>
      <c r="AH191" s="28"/>
      <c r="AI191" s="65"/>
      <c r="AK191" s="65"/>
      <c r="AL191" s="28"/>
      <c r="AM191" s="32"/>
    </row>
    <row r="192" spans="1:39" s="27" customFormat="1" ht="12.75" customHeight="1">
      <c r="A192" s="22"/>
      <c r="B192" s="153"/>
      <c r="C192" s="8"/>
      <c r="D192" s="34"/>
      <c r="E192" s="154"/>
      <c r="F192" s="155"/>
      <c r="G192" s="23"/>
      <c r="H192" s="24"/>
      <c r="I192" s="24"/>
      <c r="J192" s="24"/>
      <c r="K192" s="25"/>
      <c r="L192" s="26"/>
      <c r="M192" s="26"/>
      <c r="N192" s="26"/>
      <c r="O192" s="72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G192" s="28"/>
      <c r="AH192" s="28"/>
      <c r="AI192" s="65"/>
      <c r="AK192" s="65"/>
      <c r="AL192" s="28"/>
      <c r="AM192" s="32"/>
    </row>
    <row r="193" spans="1:39" s="27" customFormat="1" ht="12.75" customHeight="1">
      <c r="A193" s="22"/>
      <c r="B193" s="153"/>
      <c r="C193" s="8"/>
      <c r="D193" s="34"/>
      <c r="E193" s="154"/>
      <c r="F193" s="155"/>
      <c r="G193" s="23"/>
      <c r="H193" s="24"/>
      <c r="I193" s="24"/>
      <c r="J193" s="24"/>
      <c r="K193" s="25"/>
      <c r="L193" s="26"/>
      <c r="M193" s="26"/>
      <c r="N193" s="26"/>
      <c r="O193" s="72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G193" s="28"/>
      <c r="AH193" s="28"/>
      <c r="AI193" s="65"/>
      <c r="AK193" s="65"/>
      <c r="AL193" s="28"/>
      <c r="AM193" s="32"/>
    </row>
    <row r="194" spans="1:39" s="27" customFormat="1" ht="12.75" customHeight="1">
      <c r="A194" s="22"/>
      <c r="B194" s="153"/>
      <c r="C194" s="8"/>
      <c r="D194" s="34"/>
      <c r="E194" s="154"/>
      <c r="F194" s="155"/>
      <c r="G194" s="23"/>
      <c r="H194" s="24"/>
      <c r="I194" s="24"/>
      <c r="J194" s="24"/>
      <c r="K194" s="25"/>
      <c r="L194" s="26"/>
      <c r="M194" s="26"/>
      <c r="N194" s="26"/>
      <c r="O194" s="72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G194" s="28"/>
      <c r="AH194" s="28"/>
      <c r="AI194" s="65"/>
      <c r="AK194" s="65"/>
      <c r="AL194" s="28"/>
      <c r="AM194" s="32"/>
    </row>
    <row r="195" spans="1:39" s="27" customFormat="1" ht="12.75" customHeight="1">
      <c r="A195" s="22"/>
      <c r="B195" s="153"/>
      <c r="C195" s="8"/>
      <c r="D195" s="34"/>
      <c r="E195" s="154"/>
      <c r="F195" s="155"/>
      <c r="G195" s="23"/>
      <c r="H195" s="24"/>
      <c r="I195" s="24"/>
      <c r="J195" s="24"/>
      <c r="K195" s="25"/>
      <c r="L195" s="26"/>
      <c r="M195" s="26"/>
      <c r="N195" s="26"/>
      <c r="O195" s="72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G195" s="28"/>
      <c r="AH195" s="28"/>
      <c r="AI195" s="65"/>
      <c r="AK195" s="65"/>
      <c r="AL195" s="28"/>
      <c r="AM195" s="32"/>
    </row>
    <row r="196" spans="1:39" s="27" customFormat="1" ht="12.75" customHeight="1">
      <c r="A196" s="22"/>
      <c r="B196" s="153"/>
      <c r="C196" s="8"/>
      <c r="D196" s="34"/>
      <c r="E196" s="154"/>
      <c r="F196" s="155"/>
      <c r="G196" s="23"/>
      <c r="H196" s="24"/>
      <c r="I196" s="24"/>
      <c r="J196" s="24"/>
      <c r="K196" s="25"/>
      <c r="L196" s="26"/>
      <c r="M196" s="26"/>
      <c r="N196" s="26"/>
      <c r="O196" s="72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G196" s="28"/>
      <c r="AH196" s="28"/>
      <c r="AI196" s="65"/>
      <c r="AK196" s="65"/>
      <c r="AL196" s="28"/>
      <c r="AM196" s="32"/>
    </row>
    <row r="197" spans="1:39" s="27" customFormat="1" ht="12.75" customHeight="1">
      <c r="A197" s="22"/>
      <c r="B197" s="153"/>
      <c r="C197" s="8"/>
      <c r="D197" s="34"/>
      <c r="E197" s="154"/>
      <c r="F197" s="155"/>
      <c r="G197" s="23"/>
      <c r="H197" s="24"/>
      <c r="I197" s="24"/>
      <c r="J197" s="24"/>
      <c r="K197" s="25"/>
      <c r="L197" s="26"/>
      <c r="M197" s="26"/>
      <c r="N197" s="26"/>
      <c r="O197" s="72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G197" s="28"/>
      <c r="AH197" s="28"/>
      <c r="AI197" s="65"/>
      <c r="AK197" s="65"/>
      <c r="AL197" s="28"/>
      <c r="AM197" s="32"/>
    </row>
    <row r="198" spans="1:39" s="27" customFormat="1" ht="12.75" customHeight="1">
      <c r="A198" s="22"/>
      <c r="B198" s="153"/>
      <c r="C198" s="8"/>
      <c r="D198" s="34"/>
      <c r="E198" s="154"/>
      <c r="F198" s="155"/>
      <c r="G198" s="23"/>
      <c r="H198" s="24"/>
      <c r="I198" s="24"/>
      <c r="J198" s="24"/>
      <c r="K198" s="25"/>
      <c r="L198" s="26"/>
      <c r="M198" s="26"/>
      <c r="N198" s="26"/>
      <c r="O198" s="72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G198" s="28"/>
      <c r="AH198" s="28"/>
      <c r="AI198" s="65"/>
      <c r="AK198" s="65"/>
      <c r="AL198" s="28"/>
      <c r="AM198" s="32"/>
    </row>
    <row r="199" spans="1:39" s="27" customFormat="1" ht="12.75" customHeight="1">
      <c r="A199" s="22"/>
      <c r="B199" s="153"/>
      <c r="C199" s="8"/>
      <c r="D199" s="34"/>
      <c r="E199" s="154"/>
      <c r="F199" s="155"/>
      <c r="G199" s="23"/>
      <c r="H199" s="24"/>
      <c r="I199" s="24"/>
      <c r="J199" s="24"/>
      <c r="K199" s="25"/>
      <c r="L199" s="26"/>
      <c r="M199" s="26"/>
      <c r="N199" s="26"/>
      <c r="O199" s="72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G199" s="28"/>
      <c r="AH199" s="28"/>
      <c r="AI199" s="65"/>
      <c r="AK199" s="65"/>
      <c r="AL199" s="28"/>
      <c r="AM199" s="32"/>
    </row>
    <row r="200" spans="1:39" s="27" customFormat="1" ht="12.75" customHeight="1">
      <c r="A200" s="22"/>
      <c r="B200" s="153"/>
      <c r="C200" s="8"/>
      <c r="D200" s="34"/>
      <c r="E200" s="154"/>
      <c r="F200" s="155"/>
      <c r="G200" s="23"/>
      <c r="H200" s="24"/>
      <c r="I200" s="24"/>
      <c r="J200" s="24"/>
      <c r="K200" s="25"/>
      <c r="L200" s="26"/>
      <c r="M200" s="26"/>
      <c r="N200" s="26"/>
      <c r="O200" s="72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G200" s="28"/>
      <c r="AH200" s="28"/>
      <c r="AI200" s="65"/>
      <c r="AK200" s="65"/>
      <c r="AL200" s="28"/>
      <c r="AM200" s="32"/>
    </row>
    <row r="201" spans="1:39" s="27" customFormat="1" ht="12.75" customHeight="1">
      <c r="A201" s="22"/>
      <c r="B201" s="153"/>
      <c r="C201" s="8"/>
      <c r="D201" s="34"/>
      <c r="E201" s="154"/>
      <c r="F201" s="155"/>
      <c r="G201" s="23"/>
      <c r="H201" s="24"/>
      <c r="I201" s="24"/>
      <c r="J201" s="24"/>
      <c r="K201" s="25"/>
      <c r="L201" s="26"/>
      <c r="M201" s="26"/>
      <c r="N201" s="26"/>
      <c r="O201" s="72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G201" s="28"/>
      <c r="AH201" s="28"/>
      <c r="AI201" s="65"/>
      <c r="AK201" s="65"/>
      <c r="AL201" s="28"/>
      <c r="AM201" s="32"/>
    </row>
    <row r="202" spans="1:39" s="27" customFormat="1" ht="12.75" customHeight="1">
      <c r="A202" s="22"/>
      <c r="B202" s="153"/>
      <c r="C202" s="8"/>
      <c r="D202" s="34"/>
      <c r="E202" s="154"/>
      <c r="F202" s="155"/>
      <c r="G202" s="23"/>
      <c r="H202" s="24"/>
      <c r="I202" s="24"/>
      <c r="J202" s="24"/>
      <c r="K202" s="25"/>
      <c r="L202" s="26"/>
      <c r="M202" s="26"/>
      <c r="N202" s="26"/>
      <c r="O202" s="72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G202" s="28"/>
      <c r="AH202" s="28"/>
      <c r="AI202" s="65"/>
      <c r="AK202" s="65"/>
      <c r="AL202" s="28"/>
      <c r="AM202" s="32"/>
    </row>
    <row r="203" spans="1:39" s="27" customFormat="1" ht="12.75" customHeight="1">
      <c r="A203" s="22"/>
      <c r="B203" s="153"/>
      <c r="C203" s="8"/>
      <c r="D203" s="34"/>
      <c r="E203" s="154"/>
      <c r="F203" s="155"/>
      <c r="G203" s="23"/>
      <c r="H203" s="24"/>
      <c r="I203" s="24"/>
      <c r="J203" s="24"/>
      <c r="K203" s="25"/>
      <c r="L203" s="26"/>
      <c r="M203" s="26"/>
      <c r="N203" s="26"/>
      <c r="O203" s="72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G203" s="28"/>
      <c r="AH203" s="28"/>
      <c r="AI203" s="65"/>
      <c r="AK203" s="65"/>
      <c r="AL203" s="28"/>
      <c r="AM203" s="32"/>
    </row>
    <row r="204" spans="1:39" s="27" customFormat="1" ht="12.75" customHeight="1">
      <c r="A204" s="22"/>
      <c r="B204" s="153"/>
      <c r="C204" s="8"/>
      <c r="D204" s="34"/>
      <c r="E204" s="154"/>
      <c r="F204" s="155"/>
      <c r="G204" s="23"/>
      <c r="H204" s="24"/>
      <c r="I204" s="24"/>
      <c r="J204" s="24"/>
      <c r="K204" s="25"/>
      <c r="L204" s="26"/>
      <c r="M204" s="26"/>
      <c r="N204" s="26"/>
      <c r="O204" s="72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G204" s="28"/>
      <c r="AH204" s="28"/>
      <c r="AI204" s="65"/>
      <c r="AK204" s="65"/>
      <c r="AL204" s="28"/>
      <c r="AM204" s="32"/>
    </row>
    <row r="205" spans="1:39" s="27" customFormat="1" ht="12.75" customHeight="1">
      <c r="A205" s="22"/>
      <c r="B205" s="153"/>
      <c r="C205" s="8"/>
      <c r="D205" s="34"/>
      <c r="E205" s="154"/>
      <c r="F205" s="155"/>
      <c r="G205" s="23"/>
      <c r="H205" s="24"/>
      <c r="I205" s="24"/>
      <c r="J205" s="24"/>
      <c r="K205" s="25"/>
      <c r="L205" s="26"/>
      <c r="M205" s="26"/>
      <c r="N205" s="26"/>
      <c r="O205" s="72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G205" s="28"/>
      <c r="AH205" s="28"/>
      <c r="AI205" s="65"/>
      <c r="AK205" s="65"/>
      <c r="AL205" s="28"/>
      <c r="AM205" s="32"/>
    </row>
    <row r="206" spans="1:39" s="27" customFormat="1" ht="12.75" customHeight="1">
      <c r="A206" s="22"/>
      <c r="B206" s="153"/>
      <c r="C206" s="8"/>
      <c r="D206" s="34"/>
      <c r="E206" s="154"/>
      <c r="F206" s="155"/>
      <c r="G206" s="23"/>
      <c r="H206" s="24"/>
      <c r="I206" s="24"/>
      <c r="J206" s="24"/>
      <c r="K206" s="25"/>
      <c r="L206" s="26"/>
      <c r="M206" s="26"/>
      <c r="N206" s="26"/>
      <c r="O206" s="72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G206" s="28"/>
      <c r="AH206" s="28"/>
      <c r="AI206" s="65"/>
      <c r="AK206" s="65"/>
      <c r="AL206" s="28"/>
      <c r="AM206" s="32"/>
    </row>
    <row r="207" spans="1:39" s="27" customFormat="1" ht="12.75" customHeight="1">
      <c r="A207" s="22"/>
      <c r="B207" s="153"/>
      <c r="C207" s="8"/>
      <c r="D207" s="34"/>
      <c r="E207" s="154"/>
      <c r="F207" s="155"/>
      <c r="G207" s="23"/>
      <c r="H207" s="24"/>
      <c r="I207" s="24"/>
      <c r="J207" s="24"/>
      <c r="K207" s="25"/>
      <c r="L207" s="26"/>
      <c r="M207" s="26"/>
      <c r="N207" s="26"/>
      <c r="O207" s="72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G207" s="28"/>
      <c r="AH207" s="28"/>
      <c r="AI207" s="65"/>
      <c r="AK207" s="65"/>
      <c r="AL207" s="28"/>
      <c r="AM207" s="32"/>
    </row>
    <row r="208" spans="1:39" s="27" customFormat="1" ht="12.75" customHeight="1">
      <c r="A208" s="22"/>
      <c r="B208" s="153"/>
      <c r="C208" s="8"/>
      <c r="D208" s="34"/>
      <c r="E208" s="154"/>
      <c r="F208" s="155"/>
      <c r="G208" s="23"/>
      <c r="H208" s="24"/>
      <c r="I208" s="24"/>
      <c r="J208" s="24"/>
      <c r="K208" s="25"/>
      <c r="L208" s="26"/>
      <c r="M208" s="26"/>
      <c r="N208" s="26"/>
      <c r="O208" s="72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G208" s="28"/>
      <c r="AH208" s="28"/>
      <c r="AI208" s="65"/>
      <c r="AK208" s="65"/>
      <c r="AL208" s="28"/>
      <c r="AM208" s="32"/>
    </row>
    <row r="209" spans="1:39" s="27" customFormat="1" ht="12.75" customHeight="1">
      <c r="A209" s="22"/>
      <c r="B209" s="153"/>
      <c r="C209" s="8"/>
      <c r="D209" s="34"/>
      <c r="E209" s="154"/>
      <c r="F209" s="155"/>
      <c r="G209" s="23"/>
      <c r="H209" s="24"/>
      <c r="I209" s="24"/>
      <c r="J209" s="24"/>
      <c r="K209" s="25"/>
      <c r="L209" s="26"/>
      <c r="M209" s="26"/>
      <c r="N209" s="26"/>
      <c r="O209" s="72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G209" s="28"/>
      <c r="AH209" s="28"/>
      <c r="AI209" s="65"/>
      <c r="AK209" s="65"/>
      <c r="AL209" s="28"/>
      <c r="AM209" s="32"/>
    </row>
    <row r="210" spans="1:39" s="27" customFormat="1" ht="12.75" customHeight="1">
      <c r="A210" s="22"/>
      <c r="B210" s="153"/>
      <c r="C210" s="8"/>
      <c r="D210" s="34"/>
      <c r="E210" s="154"/>
      <c r="F210" s="155"/>
      <c r="G210" s="23"/>
      <c r="H210" s="24"/>
      <c r="I210" s="24"/>
      <c r="J210" s="24"/>
      <c r="K210" s="25"/>
      <c r="L210" s="26"/>
      <c r="M210" s="26"/>
      <c r="N210" s="26"/>
      <c r="O210" s="72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G210" s="28"/>
      <c r="AH210" s="28"/>
      <c r="AI210" s="65"/>
      <c r="AK210" s="65"/>
      <c r="AL210" s="28"/>
      <c r="AM210" s="32"/>
    </row>
    <row r="211" spans="1:39" s="27" customFormat="1" ht="12.75" customHeight="1">
      <c r="A211" s="22"/>
      <c r="B211" s="153"/>
      <c r="C211" s="8"/>
      <c r="D211" s="34"/>
      <c r="E211" s="154"/>
      <c r="F211" s="155"/>
      <c r="G211" s="23"/>
      <c r="H211" s="24"/>
      <c r="I211" s="24"/>
      <c r="J211" s="24"/>
      <c r="K211" s="25"/>
      <c r="L211" s="26"/>
      <c r="M211" s="26"/>
      <c r="N211" s="26"/>
      <c r="O211" s="72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G211" s="28"/>
      <c r="AH211" s="28"/>
      <c r="AI211" s="65"/>
      <c r="AK211" s="65"/>
      <c r="AL211" s="28"/>
      <c r="AM211" s="32"/>
    </row>
    <row r="212" spans="1:39" s="27" customFormat="1" ht="12.75" customHeight="1">
      <c r="A212" s="22"/>
      <c r="B212" s="153"/>
      <c r="C212" s="8"/>
      <c r="D212" s="34"/>
      <c r="E212" s="154"/>
      <c r="F212" s="155"/>
      <c r="G212" s="23"/>
      <c r="H212" s="24"/>
      <c r="I212" s="24"/>
      <c r="J212" s="24"/>
      <c r="K212" s="25"/>
      <c r="L212" s="26"/>
      <c r="M212" s="26"/>
      <c r="N212" s="26"/>
      <c r="O212" s="72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G212" s="28"/>
      <c r="AH212" s="28"/>
      <c r="AI212" s="65"/>
      <c r="AK212" s="65"/>
      <c r="AL212" s="28"/>
      <c r="AM212" s="32"/>
    </row>
    <row r="213" spans="1:39" s="27" customFormat="1" ht="12.75" customHeight="1">
      <c r="A213" s="22"/>
      <c r="B213" s="153"/>
      <c r="C213" s="8"/>
      <c r="D213" s="34"/>
      <c r="E213" s="154"/>
      <c r="F213" s="155"/>
      <c r="G213" s="23"/>
      <c r="H213" s="24"/>
      <c r="I213" s="24"/>
      <c r="J213" s="24"/>
      <c r="K213" s="25"/>
      <c r="L213" s="26"/>
      <c r="M213" s="26"/>
      <c r="N213" s="26"/>
      <c r="O213" s="72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G213" s="28"/>
      <c r="AH213" s="28"/>
      <c r="AI213" s="65"/>
      <c r="AK213" s="65"/>
      <c r="AL213" s="28"/>
      <c r="AM213" s="32"/>
    </row>
    <row r="214" spans="1:39" s="27" customFormat="1" ht="12.75" customHeight="1">
      <c r="A214" s="22"/>
      <c r="B214" s="153"/>
      <c r="C214" s="8"/>
      <c r="D214" s="34"/>
      <c r="E214" s="154"/>
      <c r="F214" s="155"/>
      <c r="G214" s="23"/>
      <c r="H214" s="24"/>
      <c r="I214" s="24"/>
      <c r="J214" s="24"/>
      <c r="K214" s="25"/>
      <c r="L214" s="26"/>
      <c r="M214" s="26"/>
      <c r="N214" s="26"/>
      <c r="O214" s="72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G214" s="28"/>
      <c r="AH214" s="28"/>
      <c r="AI214" s="65"/>
      <c r="AK214" s="65"/>
      <c r="AL214" s="28"/>
      <c r="AM214" s="32"/>
    </row>
    <row r="215" spans="1:39" s="27" customFormat="1" ht="12.75" customHeight="1">
      <c r="A215" s="22"/>
      <c r="B215" s="153"/>
      <c r="C215" s="8"/>
      <c r="D215" s="34"/>
      <c r="E215" s="154"/>
      <c r="F215" s="155"/>
      <c r="G215" s="23"/>
      <c r="H215" s="24"/>
      <c r="I215" s="24"/>
      <c r="J215" s="24"/>
      <c r="K215" s="25"/>
      <c r="L215" s="26"/>
      <c r="M215" s="26"/>
      <c r="N215" s="26"/>
      <c r="O215" s="72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G215" s="28"/>
      <c r="AH215" s="28"/>
      <c r="AI215" s="65"/>
      <c r="AK215" s="65"/>
      <c r="AL215" s="28"/>
      <c r="AM215" s="32"/>
    </row>
    <row r="216" spans="1:39" s="27" customFormat="1" ht="12.75" customHeight="1">
      <c r="A216" s="22"/>
      <c r="B216" s="153"/>
      <c r="C216" s="8"/>
      <c r="D216" s="34"/>
      <c r="E216" s="154"/>
      <c r="F216" s="155"/>
      <c r="G216" s="23"/>
      <c r="H216" s="24"/>
      <c r="I216" s="24"/>
      <c r="J216" s="24"/>
      <c r="K216" s="25"/>
      <c r="L216" s="26"/>
      <c r="M216" s="26"/>
      <c r="N216" s="26"/>
      <c r="O216" s="72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G216" s="28"/>
      <c r="AH216" s="28"/>
      <c r="AI216" s="65"/>
      <c r="AK216" s="65"/>
      <c r="AL216" s="28"/>
      <c r="AM216" s="32"/>
    </row>
    <row r="217" spans="1:39" s="27" customFormat="1" ht="12.75" customHeight="1">
      <c r="A217" s="22"/>
      <c r="B217" s="153"/>
      <c r="C217" s="8"/>
      <c r="D217" s="34"/>
      <c r="E217" s="154"/>
      <c r="F217" s="155"/>
      <c r="G217" s="23"/>
      <c r="H217" s="24"/>
      <c r="I217" s="24"/>
      <c r="J217" s="24"/>
      <c r="K217" s="25"/>
      <c r="L217" s="26"/>
      <c r="M217" s="26"/>
      <c r="N217" s="26"/>
      <c r="O217" s="72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G217" s="28"/>
      <c r="AH217" s="28"/>
      <c r="AI217" s="65"/>
      <c r="AK217" s="65"/>
      <c r="AL217" s="28"/>
      <c r="AM217" s="32"/>
    </row>
    <row r="218" spans="1:39" s="27" customFormat="1" ht="12.75" customHeight="1">
      <c r="A218" s="22"/>
      <c r="B218" s="153"/>
      <c r="C218" s="8"/>
      <c r="D218" s="34"/>
      <c r="E218" s="154"/>
      <c r="F218" s="155"/>
      <c r="G218" s="23"/>
      <c r="H218" s="24"/>
      <c r="I218" s="24"/>
      <c r="J218" s="24"/>
      <c r="K218" s="25"/>
      <c r="L218" s="26"/>
      <c r="M218" s="26"/>
      <c r="N218" s="26"/>
      <c r="O218" s="72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G218" s="28"/>
      <c r="AH218" s="28"/>
      <c r="AI218" s="65"/>
      <c r="AK218" s="65"/>
      <c r="AL218" s="28"/>
      <c r="AM218" s="32"/>
    </row>
    <row r="219" spans="1:39" s="27" customFormat="1" ht="12.75" customHeight="1">
      <c r="A219" s="22"/>
      <c r="B219" s="153"/>
      <c r="C219" s="8"/>
      <c r="D219" s="34"/>
      <c r="E219" s="154"/>
      <c r="F219" s="155"/>
      <c r="G219" s="23"/>
      <c r="H219" s="24"/>
      <c r="I219" s="24"/>
      <c r="J219" s="24"/>
      <c r="K219" s="25"/>
      <c r="L219" s="26"/>
      <c r="M219" s="26"/>
      <c r="N219" s="26"/>
      <c r="O219" s="72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G219" s="28"/>
      <c r="AH219" s="28"/>
      <c r="AI219" s="65"/>
      <c r="AK219" s="65"/>
      <c r="AL219" s="28"/>
      <c r="AM219" s="32"/>
    </row>
    <row r="220" spans="1:39" s="27" customFormat="1" ht="12.75" customHeight="1">
      <c r="A220" s="22"/>
      <c r="B220" s="153"/>
      <c r="C220" s="8"/>
      <c r="D220" s="34"/>
      <c r="E220" s="154"/>
      <c r="F220" s="155"/>
      <c r="G220" s="23"/>
      <c r="H220" s="24"/>
      <c r="I220" s="24"/>
      <c r="J220" s="24"/>
      <c r="K220" s="25"/>
      <c r="L220" s="26"/>
      <c r="M220" s="26"/>
      <c r="N220" s="26"/>
      <c r="O220" s="72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G220" s="28"/>
      <c r="AH220" s="28"/>
      <c r="AI220" s="65"/>
      <c r="AK220" s="65"/>
      <c r="AL220" s="28"/>
      <c r="AM220" s="32"/>
    </row>
    <row r="221" spans="1:39" s="27" customFormat="1" ht="12.75" customHeight="1">
      <c r="A221" s="22"/>
      <c r="B221" s="153"/>
      <c r="C221" s="8"/>
      <c r="D221" s="34"/>
      <c r="E221" s="154"/>
      <c r="F221" s="155"/>
      <c r="G221" s="23"/>
      <c r="H221" s="24"/>
      <c r="I221" s="24"/>
      <c r="J221" s="24"/>
      <c r="K221" s="25"/>
      <c r="L221" s="26"/>
      <c r="M221" s="26"/>
      <c r="N221" s="26"/>
      <c r="O221" s="72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G221" s="28"/>
      <c r="AH221" s="28"/>
      <c r="AI221" s="65"/>
      <c r="AK221" s="65"/>
      <c r="AL221" s="28"/>
      <c r="AM221" s="32"/>
    </row>
    <row r="222" spans="1:39" s="27" customFormat="1" ht="12.75" customHeight="1">
      <c r="A222" s="22"/>
      <c r="B222" s="153"/>
      <c r="C222" s="8"/>
      <c r="D222" s="34"/>
      <c r="E222" s="154"/>
      <c r="F222" s="155"/>
      <c r="G222" s="23"/>
      <c r="H222" s="24"/>
      <c r="I222" s="24"/>
      <c r="J222" s="24"/>
      <c r="K222" s="25"/>
      <c r="L222" s="26"/>
      <c r="M222" s="26"/>
      <c r="N222" s="26"/>
      <c r="O222" s="72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G222" s="28"/>
      <c r="AH222" s="28"/>
      <c r="AI222" s="65"/>
      <c r="AK222" s="65"/>
      <c r="AL222" s="28"/>
      <c r="AM222" s="32"/>
    </row>
    <row r="223" spans="1:39" s="27" customFormat="1" ht="12.75" customHeight="1">
      <c r="A223" s="22"/>
      <c r="B223" s="153"/>
      <c r="C223" s="8"/>
      <c r="D223" s="34"/>
      <c r="E223" s="154"/>
      <c r="F223" s="155"/>
      <c r="G223" s="23"/>
      <c r="H223" s="24"/>
      <c r="I223" s="24"/>
      <c r="J223" s="24"/>
      <c r="K223" s="25"/>
      <c r="L223" s="26"/>
      <c r="M223" s="26"/>
      <c r="N223" s="26"/>
      <c r="O223" s="72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G223" s="28"/>
      <c r="AH223" s="28"/>
      <c r="AI223" s="65"/>
      <c r="AK223" s="65"/>
      <c r="AL223" s="28"/>
      <c r="AM223" s="32"/>
    </row>
    <row r="224" spans="1:39" s="27" customFormat="1" ht="12.75" customHeight="1">
      <c r="A224" s="22"/>
      <c r="B224" s="153"/>
      <c r="C224" s="8"/>
      <c r="D224" s="34"/>
      <c r="E224" s="154"/>
      <c r="F224" s="155"/>
      <c r="G224" s="23"/>
      <c r="H224" s="24"/>
      <c r="I224" s="24"/>
      <c r="J224" s="24"/>
      <c r="K224" s="25"/>
      <c r="L224" s="26"/>
      <c r="M224" s="26"/>
      <c r="N224" s="26"/>
      <c r="O224" s="72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G224" s="28"/>
      <c r="AH224" s="28"/>
      <c r="AI224" s="65"/>
      <c r="AK224" s="65"/>
      <c r="AL224" s="28"/>
      <c r="AM224" s="32"/>
    </row>
    <row r="225" spans="1:39" s="27" customFormat="1" ht="12.75" customHeight="1">
      <c r="A225" s="22"/>
      <c r="B225" s="153"/>
      <c r="C225" s="8"/>
      <c r="D225" s="34"/>
      <c r="E225" s="154"/>
      <c r="F225" s="155"/>
      <c r="G225" s="23"/>
      <c r="H225" s="24"/>
      <c r="I225" s="24"/>
      <c r="J225" s="24"/>
      <c r="K225" s="25"/>
      <c r="L225" s="26"/>
      <c r="M225" s="26"/>
      <c r="N225" s="26"/>
      <c r="O225" s="72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G225" s="28"/>
      <c r="AH225" s="28"/>
      <c r="AI225" s="65"/>
      <c r="AK225" s="65"/>
      <c r="AL225" s="28"/>
      <c r="AM225" s="32"/>
    </row>
    <row r="226" spans="1:39" s="27" customFormat="1" ht="12.75" customHeight="1">
      <c r="A226" s="22"/>
      <c r="B226" s="153"/>
      <c r="C226" s="8"/>
      <c r="D226" s="34"/>
      <c r="E226" s="154"/>
      <c r="F226" s="155"/>
      <c r="G226" s="23"/>
      <c r="H226" s="24"/>
      <c r="I226" s="24"/>
      <c r="J226" s="24"/>
      <c r="K226" s="25"/>
      <c r="L226" s="26"/>
      <c r="M226" s="26"/>
      <c r="N226" s="26"/>
      <c r="O226" s="72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G226" s="28"/>
      <c r="AH226" s="28"/>
      <c r="AI226" s="65"/>
      <c r="AK226" s="65"/>
      <c r="AL226" s="28"/>
      <c r="AM226" s="32"/>
    </row>
    <row r="227" spans="1:39" s="27" customFormat="1" ht="12.75" customHeight="1">
      <c r="A227" s="22"/>
      <c r="B227" s="153"/>
      <c r="C227" s="8"/>
      <c r="D227" s="34"/>
      <c r="E227" s="154"/>
      <c r="F227" s="155"/>
      <c r="G227" s="23"/>
      <c r="H227" s="24"/>
      <c r="I227" s="24"/>
      <c r="J227" s="24"/>
      <c r="K227" s="25"/>
      <c r="L227" s="26"/>
      <c r="M227" s="26"/>
      <c r="N227" s="26"/>
      <c r="O227" s="72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G227" s="28"/>
      <c r="AH227" s="28"/>
      <c r="AI227" s="65"/>
      <c r="AK227" s="65"/>
      <c r="AL227" s="28"/>
      <c r="AM227" s="32"/>
    </row>
    <row r="228" spans="1:39" s="27" customFormat="1" ht="12.75" customHeight="1">
      <c r="A228" s="22"/>
      <c r="B228" s="153"/>
      <c r="C228" s="8"/>
      <c r="D228" s="34"/>
      <c r="E228" s="154"/>
      <c r="F228" s="155"/>
      <c r="G228" s="23"/>
      <c r="H228" s="24"/>
      <c r="I228" s="24"/>
      <c r="J228" s="24"/>
      <c r="K228" s="25"/>
      <c r="L228" s="26"/>
      <c r="M228" s="26"/>
      <c r="N228" s="26"/>
      <c r="O228" s="72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G228" s="28"/>
      <c r="AH228" s="28"/>
      <c r="AI228" s="65"/>
      <c r="AK228" s="65"/>
      <c r="AL228" s="28"/>
      <c r="AM228" s="32"/>
    </row>
    <row r="229" spans="1:39" s="27" customFormat="1" ht="12.75" customHeight="1">
      <c r="A229" s="22"/>
      <c r="B229" s="153"/>
      <c r="C229" s="8"/>
      <c r="D229" s="34"/>
      <c r="E229" s="154"/>
      <c r="F229" s="155"/>
      <c r="G229" s="23"/>
      <c r="H229" s="24"/>
      <c r="I229" s="24"/>
      <c r="J229" s="24"/>
      <c r="K229" s="25"/>
      <c r="L229" s="26"/>
      <c r="M229" s="26"/>
      <c r="N229" s="26"/>
      <c r="O229" s="72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G229" s="28"/>
      <c r="AH229" s="28"/>
      <c r="AI229" s="65"/>
      <c r="AK229" s="65"/>
      <c r="AL229" s="28"/>
      <c r="AM229" s="32"/>
    </row>
    <row r="230" spans="1:39" s="27" customFormat="1" ht="12.75" customHeight="1">
      <c r="A230" s="22"/>
      <c r="B230" s="153"/>
      <c r="C230" s="8"/>
      <c r="D230" s="34"/>
      <c r="E230" s="154"/>
      <c r="F230" s="155"/>
      <c r="G230" s="23"/>
      <c r="H230" s="24"/>
      <c r="I230" s="24"/>
      <c r="J230" s="24"/>
      <c r="K230" s="25"/>
      <c r="L230" s="26"/>
      <c r="M230" s="26"/>
      <c r="N230" s="26"/>
      <c r="O230" s="72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G230" s="28"/>
      <c r="AH230" s="28"/>
      <c r="AI230" s="65"/>
      <c r="AK230" s="65"/>
      <c r="AL230" s="28"/>
      <c r="AM230" s="32"/>
    </row>
    <row r="231" spans="1:39" s="27" customFormat="1" ht="12.75" customHeight="1">
      <c r="A231" s="22"/>
      <c r="B231" s="153"/>
      <c r="C231" s="8"/>
      <c r="D231" s="34"/>
      <c r="E231" s="154"/>
      <c r="F231" s="155"/>
      <c r="G231" s="23"/>
      <c r="H231" s="24"/>
      <c r="I231" s="24"/>
      <c r="J231" s="24"/>
      <c r="K231" s="25"/>
      <c r="L231" s="26"/>
      <c r="M231" s="26"/>
      <c r="N231" s="26"/>
      <c r="O231" s="72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G231" s="28"/>
      <c r="AH231" s="28"/>
      <c r="AI231" s="65"/>
      <c r="AK231" s="65"/>
      <c r="AL231" s="28"/>
      <c r="AM231" s="32"/>
    </row>
    <row r="232" spans="1:39" s="27" customFormat="1" ht="12.75" customHeight="1">
      <c r="A232" s="22"/>
      <c r="B232" s="153"/>
      <c r="C232" s="8"/>
      <c r="D232" s="34"/>
      <c r="E232" s="154"/>
      <c r="F232" s="155"/>
      <c r="G232" s="23"/>
      <c r="H232" s="24"/>
      <c r="I232" s="24"/>
      <c r="J232" s="24"/>
      <c r="K232" s="25"/>
      <c r="L232" s="26"/>
      <c r="M232" s="26"/>
      <c r="N232" s="26"/>
      <c r="O232" s="72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G232" s="28"/>
      <c r="AH232" s="28"/>
      <c r="AI232" s="65"/>
      <c r="AK232" s="65"/>
      <c r="AL232" s="28"/>
      <c r="AM232" s="32"/>
    </row>
    <row r="233" spans="1:39" s="27" customFormat="1" ht="12.75" customHeight="1">
      <c r="A233" s="22"/>
      <c r="B233" s="153"/>
      <c r="C233" s="8"/>
      <c r="D233" s="34"/>
      <c r="E233" s="154"/>
      <c r="F233" s="155"/>
      <c r="G233" s="23"/>
      <c r="H233" s="24"/>
      <c r="I233" s="24"/>
      <c r="J233" s="24"/>
      <c r="K233" s="25"/>
      <c r="L233" s="26"/>
      <c r="M233" s="26"/>
      <c r="N233" s="26"/>
      <c r="O233" s="72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G233" s="28"/>
      <c r="AH233" s="28"/>
      <c r="AI233" s="65"/>
      <c r="AK233" s="65"/>
      <c r="AL233" s="28"/>
      <c r="AM233" s="32"/>
    </row>
    <row r="234" spans="1:39" s="27" customFormat="1" ht="12.75" customHeight="1">
      <c r="A234" s="22"/>
      <c r="B234" s="153"/>
      <c r="C234" s="8"/>
      <c r="D234" s="34"/>
      <c r="E234" s="154"/>
      <c r="F234" s="155"/>
      <c r="G234" s="23"/>
      <c r="H234" s="24"/>
      <c r="I234" s="24"/>
      <c r="J234" s="24"/>
      <c r="K234" s="25"/>
      <c r="L234" s="26"/>
      <c r="M234" s="26"/>
      <c r="N234" s="26"/>
      <c r="O234" s="72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G234" s="28"/>
      <c r="AH234" s="28"/>
      <c r="AI234" s="65"/>
      <c r="AK234" s="65"/>
      <c r="AL234" s="28"/>
      <c r="AM234" s="32"/>
    </row>
    <row r="235" spans="1:39" s="27" customFormat="1" ht="12.75" customHeight="1">
      <c r="A235" s="22"/>
      <c r="B235" s="153"/>
      <c r="C235" s="8"/>
      <c r="D235" s="34"/>
      <c r="E235" s="154"/>
      <c r="F235" s="155"/>
      <c r="G235" s="23"/>
      <c r="H235" s="24"/>
      <c r="I235" s="24"/>
      <c r="J235" s="24"/>
      <c r="K235" s="25"/>
      <c r="L235" s="26"/>
      <c r="M235" s="26"/>
      <c r="N235" s="26"/>
      <c r="O235" s="72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G235" s="28"/>
      <c r="AH235" s="28"/>
      <c r="AI235" s="65"/>
      <c r="AK235" s="65"/>
      <c r="AL235" s="28"/>
      <c r="AM235" s="32"/>
    </row>
    <row r="236" spans="1:39" s="27" customFormat="1" ht="12.75" customHeight="1">
      <c r="A236" s="22"/>
      <c r="B236" s="153"/>
      <c r="C236" s="8"/>
      <c r="D236" s="34"/>
      <c r="E236" s="154"/>
      <c r="F236" s="155"/>
      <c r="G236" s="23"/>
      <c r="H236" s="24"/>
      <c r="I236" s="24"/>
      <c r="J236" s="24"/>
      <c r="K236" s="25"/>
      <c r="L236" s="26"/>
      <c r="M236" s="26"/>
      <c r="N236" s="26"/>
      <c r="O236" s="72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G236" s="28"/>
      <c r="AH236" s="28"/>
      <c r="AI236" s="65"/>
      <c r="AK236" s="65"/>
      <c r="AL236" s="28"/>
      <c r="AM236" s="32"/>
    </row>
    <row r="237" spans="1:39" s="27" customFormat="1" ht="12.75" customHeight="1">
      <c r="A237" s="22"/>
      <c r="B237" s="153"/>
      <c r="C237" s="8"/>
      <c r="D237" s="34"/>
      <c r="E237" s="154"/>
      <c r="F237" s="155"/>
      <c r="G237" s="23"/>
      <c r="H237" s="24"/>
      <c r="I237" s="24"/>
      <c r="J237" s="24"/>
      <c r="K237" s="25"/>
      <c r="L237" s="26"/>
      <c r="M237" s="26"/>
      <c r="N237" s="26"/>
      <c r="O237" s="72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G237" s="28"/>
      <c r="AH237" s="28"/>
      <c r="AI237" s="65"/>
      <c r="AK237" s="65"/>
      <c r="AL237" s="28"/>
      <c r="AM237" s="32"/>
    </row>
    <row r="238" spans="1:39" s="27" customFormat="1" ht="12.75" customHeight="1">
      <c r="A238" s="22"/>
      <c r="B238" s="153"/>
      <c r="C238" s="8"/>
      <c r="D238" s="34"/>
      <c r="E238" s="154"/>
      <c r="F238" s="155"/>
      <c r="G238" s="23"/>
      <c r="H238" s="24"/>
      <c r="I238" s="24"/>
      <c r="J238" s="24"/>
      <c r="K238" s="25"/>
      <c r="L238" s="26"/>
      <c r="M238" s="26"/>
      <c r="N238" s="26"/>
      <c r="O238" s="72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G238" s="28"/>
      <c r="AH238" s="28"/>
      <c r="AI238" s="65"/>
      <c r="AK238" s="65"/>
      <c r="AL238" s="28"/>
      <c r="AM238" s="32"/>
    </row>
    <row r="239" spans="1:39" s="27" customFormat="1" ht="12.75" customHeight="1">
      <c r="A239" s="22"/>
      <c r="B239" s="153"/>
      <c r="C239" s="8"/>
      <c r="D239" s="34"/>
      <c r="E239" s="154"/>
      <c r="F239" s="155"/>
      <c r="G239" s="23"/>
      <c r="H239" s="24"/>
      <c r="I239" s="24"/>
      <c r="J239" s="24"/>
      <c r="K239" s="25"/>
      <c r="L239" s="26"/>
      <c r="M239" s="26"/>
      <c r="N239" s="26"/>
      <c r="O239" s="72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G239" s="28"/>
      <c r="AH239" s="28"/>
      <c r="AI239" s="65"/>
      <c r="AK239" s="65"/>
      <c r="AL239" s="28"/>
      <c r="AM239" s="32"/>
    </row>
    <row r="240" spans="1:39" s="27" customFormat="1" ht="12.75" customHeight="1">
      <c r="A240" s="22"/>
      <c r="B240" s="153"/>
      <c r="C240" s="8"/>
      <c r="D240" s="34"/>
      <c r="E240" s="154"/>
      <c r="F240" s="155"/>
      <c r="G240" s="23"/>
      <c r="H240" s="24"/>
      <c r="I240" s="24"/>
      <c r="J240" s="24"/>
      <c r="K240" s="25"/>
      <c r="L240" s="26"/>
      <c r="M240" s="26"/>
      <c r="N240" s="26"/>
      <c r="O240" s="72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G240" s="28"/>
      <c r="AH240" s="28"/>
      <c r="AI240" s="65"/>
      <c r="AK240" s="65"/>
      <c r="AL240" s="28"/>
      <c r="AM240" s="32"/>
    </row>
    <row r="241" spans="1:39" s="27" customFormat="1" ht="12.75" customHeight="1">
      <c r="A241" s="22"/>
      <c r="B241" s="153"/>
      <c r="C241" s="8"/>
      <c r="D241" s="34"/>
      <c r="E241" s="154"/>
      <c r="F241" s="155"/>
      <c r="G241" s="23"/>
      <c r="H241" s="24"/>
      <c r="I241" s="24"/>
      <c r="J241" s="24"/>
      <c r="K241" s="25"/>
      <c r="L241" s="26"/>
      <c r="M241" s="26"/>
      <c r="N241" s="26"/>
      <c r="O241" s="72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G241" s="28"/>
      <c r="AH241" s="28"/>
      <c r="AI241" s="65"/>
      <c r="AK241" s="65"/>
      <c r="AL241" s="28"/>
      <c r="AM241" s="32"/>
    </row>
    <row r="242" spans="1:39" s="27" customFormat="1" ht="12.75" customHeight="1">
      <c r="A242" s="22"/>
      <c r="B242" s="153"/>
      <c r="C242" s="8"/>
      <c r="D242" s="34"/>
      <c r="E242" s="154"/>
      <c r="F242" s="155"/>
      <c r="G242" s="23"/>
      <c r="H242" s="24"/>
      <c r="I242" s="24"/>
      <c r="J242" s="24"/>
      <c r="K242" s="25"/>
      <c r="L242" s="26"/>
      <c r="M242" s="26"/>
      <c r="N242" s="26"/>
      <c r="O242" s="72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G242" s="28"/>
      <c r="AH242" s="28"/>
      <c r="AI242" s="65"/>
      <c r="AK242" s="65"/>
      <c r="AL242" s="28"/>
      <c r="AM242" s="32"/>
    </row>
    <row r="243" spans="1:39" s="27" customFormat="1" ht="12.75" customHeight="1">
      <c r="A243" s="22"/>
      <c r="B243" s="153"/>
      <c r="C243" s="8"/>
      <c r="D243" s="34"/>
      <c r="E243" s="154"/>
      <c r="F243" s="155"/>
      <c r="G243" s="23"/>
      <c r="H243" s="24"/>
      <c r="I243" s="24"/>
      <c r="J243" s="24"/>
      <c r="K243" s="25"/>
      <c r="L243" s="26"/>
      <c r="M243" s="26"/>
      <c r="N243" s="26"/>
      <c r="O243" s="72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G243" s="28"/>
      <c r="AH243" s="28"/>
      <c r="AI243" s="65"/>
      <c r="AK243" s="65"/>
      <c r="AL243" s="28"/>
      <c r="AM243" s="32"/>
    </row>
    <row r="244" spans="1:39" s="27" customFormat="1" ht="12.75" customHeight="1">
      <c r="A244" s="22"/>
      <c r="B244" s="153"/>
      <c r="C244" s="8"/>
      <c r="D244" s="34"/>
      <c r="E244" s="154"/>
      <c r="F244" s="155"/>
      <c r="G244" s="23"/>
      <c r="H244" s="24"/>
      <c r="I244" s="24"/>
      <c r="J244" s="24"/>
      <c r="K244" s="25"/>
      <c r="L244" s="26"/>
      <c r="M244" s="26"/>
      <c r="N244" s="26"/>
      <c r="O244" s="72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G244" s="28"/>
      <c r="AH244" s="28"/>
      <c r="AI244" s="65"/>
      <c r="AK244" s="65"/>
      <c r="AL244" s="28"/>
      <c r="AM244" s="32"/>
    </row>
    <row r="245" spans="1:39" s="27" customFormat="1" ht="12.75" customHeight="1">
      <c r="A245" s="22"/>
      <c r="B245" s="153"/>
      <c r="C245" s="8"/>
      <c r="D245" s="34"/>
      <c r="E245" s="154"/>
      <c r="F245" s="155"/>
      <c r="G245" s="23"/>
      <c r="H245" s="24"/>
      <c r="I245" s="24"/>
      <c r="J245" s="24"/>
      <c r="K245" s="25"/>
      <c r="L245" s="26"/>
      <c r="M245" s="26"/>
      <c r="N245" s="26"/>
      <c r="O245" s="72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G245" s="28"/>
      <c r="AH245" s="28"/>
      <c r="AI245" s="65"/>
      <c r="AK245" s="65"/>
      <c r="AL245" s="28"/>
      <c r="AM245" s="32"/>
    </row>
    <row r="246" spans="1:39" s="27" customFormat="1" ht="12.75" customHeight="1">
      <c r="A246" s="22"/>
      <c r="B246" s="153"/>
      <c r="C246" s="8"/>
      <c r="D246" s="34"/>
      <c r="E246" s="154"/>
      <c r="F246" s="155"/>
      <c r="G246" s="23"/>
      <c r="H246" s="24"/>
      <c r="I246" s="24"/>
      <c r="J246" s="24"/>
      <c r="K246" s="25"/>
      <c r="L246" s="26"/>
      <c r="M246" s="26"/>
      <c r="N246" s="26"/>
      <c r="O246" s="72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G246" s="28"/>
      <c r="AH246" s="28"/>
      <c r="AI246" s="65"/>
      <c r="AK246" s="65"/>
      <c r="AL246" s="28"/>
      <c r="AM246" s="32"/>
    </row>
    <row r="247" spans="1:39" s="27" customFormat="1" ht="12.75" customHeight="1">
      <c r="A247" s="22"/>
      <c r="B247" s="153"/>
      <c r="C247" s="8"/>
      <c r="D247" s="34"/>
      <c r="E247" s="154"/>
      <c r="F247" s="155"/>
      <c r="G247" s="23"/>
      <c r="H247" s="24"/>
      <c r="I247" s="24"/>
      <c r="J247" s="24"/>
      <c r="K247" s="25"/>
      <c r="L247" s="26"/>
      <c r="M247" s="26"/>
      <c r="N247" s="26"/>
      <c r="O247" s="72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G247" s="28"/>
      <c r="AH247" s="28"/>
      <c r="AI247" s="65"/>
      <c r="AK247" s="65"/>
      <c r="AL247" s="28"/>
      <c r="AM247" s="32"/>
    </row>
    <row r="248" spans="1:39" s="27" customFormat="1" ht="12.75" customHeight="1">
      <c r="A248" s="22"/>
      <c r="B248" s="153"/>
      <c r="C248" s="8"/>
      <c r="D248" s="34"/>
      <c r="E248" s="154"/>
      <c r="F248" s="155"/>
      <c r="G248" s="23"/>
      <c r="H248" s="24"/>
      <c r="I248" s="24"/>
      <c r="J248" s="24"/>
      <c r="K248" s="25"/>
      <c r="L248" s="26"/>
      <c r="M248" s="26"/>
      <c r="N248" s="26"/>
      <c r="O248" s="72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G248" s="28"/>
      <c r="AH248" s="28"/>
      <c r="AI248" s="65"/>
      <c r="AK248" s="65"/>
      <c r="AL248" s="28"/>
      <c r="AM248" s="32"/>
    </row>
    <row r="249" spans="1:39" s="27" customFormat="1" ht="12.75" customHeight="1">
      <c r="A249" s="22"/>
      <c r="B249" s="153"/>
      <c r="C249" s="8"/>
      <c r="D249" s="34"/>
      <c r="E249" s="154"/>
      <c r="F249" s="155"/>
      <c r="G249" s="23"/>
      <c r="H249" s="24"/>
      <c r="I249" s="24"/>
      <c r="J249" s="24"/>
      <c r="K249" s="25"/>
      <c r="L249" s="26"/>
      <c r="M249" s="26"/>
      <c r="N249" s="26"/>
      <c r="O249" s="72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G249" s="28"/>
      <c r="AH249" s="28"/>
      <c r="AI249" s="65"/>
      <c r="AK249" s="65"/>
      <c r="AL249" s="28"/>
      <c r="AM249" s="32"/>
    </row>
    <row r="250" spans="1:39" s="27" customFormat="1" ht="12.75" customHeight="1">
      <c r="A250" s="22"/>
      <c r="B250" s="153"/>
      <c r="C250" s="8"/>
      <c r="D250" s="34"/>
      <c r="E250" s="154"/>
      <c r="F250" s="155"/>
      <c r="G250" s="23"/>
      <c r="H250" s="24"/>
      <c r="I250" s="24"/>
      <c r="J250" s="24"/>
      <c r="K250" s="25"/>
      <c r="L250" s="26"/>
      <c r="M250" s="26"/>
      <c r="N250" s="26"/>
      <c r="O250" s="72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G250" s="28"/>
      <c r="AH250" s="28"/>
      <c r="AI250" s="65"/>
      <c r="AK250" s="65"/>
      <c r="AL250" s="28"/>
      <c r="AM250" s="32"/>
    </row>
    <row r="251" spans="1:39" s="27" customFormat="1" ht="12.75" customHeight="1">
      <c r="A251" s="22"/>
      <c r="B251" s="153"/>
      <c r="C251" s="8"/>
      <c r="D251" s="34"/>
      <c r="E251" s="154"/>
      <c r="F251" s="155"/>
      <c r="G251" s="23"/>
      <c r="H251" s="24"/>
      <c r="I251" s="24"/>
      <c r="J251" s="24"/>
      <c r="K251" s="25"/>
      <c r="L251" s="26"/>
      <c r="M251" s="26"/>
      <c r="N251" s="26"/>
      <c r="O251" s="72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G251" s="28"/>
      <c r="AH251" s="28"/>
      <c r="AI251" s="65"/>
      <c r="AK251" s="65"/>
      <c r="AL251" s="28"/>
      <c r="AM251" s="32"/>
    </row>
    <row r="252" spans="1:39" s="27" customFormat="1" ht="12.75" customHeight="1">
      <c r="A252" s="22"/>
      <c r="B252" s="153"/>
      <c r="C252" s="8"/>
      <c r="D252" s="34"/>
      <c r="E252" s="154"/>
      <c r="F252" s="155"/>
      <c r="G252" s="23"/>
      <c r="H252" s="24"/>
      <c r="I252" s="24"/>
      <c r="J252" s="24"/>
      <c r="K252" s="25"/>
      <c r="L252" s="26"/>
      <c r="M252" s="26"/>
      <c r="N252" s="26"/>
      <c r="O252" s="72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G252" s="28"/>
      <c r="AH252" s="28"/>
      <c r="AI252" s="65"/>
      <c r="AK252" s="65"/>
      <c r="AL252" s="28"/>
      <c r="AM252" s="32"/>
    </row>
    <row r="253" spans="1:39" s="27" customFormat="1" ht="12.75" customHeight="1">
      <c r="A253" s="22"/>
      <c r="B253" s="153"/>
      <c r="C253" s="8"/>
      <c r="D253" s="34"/>
      <c r="E253" s="154"/>
      <c r="F253" s="155"/>
      <c r="G253" s="23"/>
      <c r="H253" s="24"/>
      <c r="I253" s="24"/>
      <c r="J253" s="24"/>
      <c r="K253" s="25"/>
      <c r="L253" s="26"/>
      <c r="M253" s="26"/>
      <c r="N253" s="26"/>
      <c r="O253" s="72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G253" s="28"/>
      <c r="AH253" s="28"/>
      <c r="AI253" s="65"/>
      <c r="AK253" s="65"/>
      <c r="AL253" s="28"/>
      <c r="AM253" s="32"/>
    </row>
    <row r="254" spans="1:39" s="27" customFormat="1" ht="12.75" customHeight="1">
      <c r="A254" s="22"/>
      <c r="B254" s="153"/>
      <c r="C254" s="8"/>
      <c r="D254" s="34"/>
      <c r="E254" s="154"/>
      <c r="F254" s="155"/>
      <c r="G254" s="23"/>
      <c r="H254" s="24"/>
      <c r="I254" s="24"/>
      <c r="J254" s="24"/>
      <c r="K254" s="25"/>
      <c r="L254" s="26"/>
      <c r="M254" s="26"/>
      <c r="N254" s="26"/>
      <c r="O254" s="72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G254" s="28"/>
      <c r="AH254" s="28"/>
      <c r="AI254" s="65"/>
      <c r="AK254" s="65"/>
      <c r="AL254" s="28"/>
      <c r="AM254" s="32"/>
    </row>
    <row r="255" spans="1:39" s="27" customFormat="1" ht="12.75" customHeight="1">
      <c r="A255" s="22"/>
      <c r="B255" s="153"/>
      <c r="C255" s="8"/>
      <c r="D255" s="34"/>
      <c r="E255" s="154"/>
      <c r="F255" s="155"/>
      <c r="G255" s="23"/>
      <c r="H255" s="24"/>
      <c r="I255" s="24"/>
      <c r="J255" s="24"/>
      <c r="K255" s="25"/>
      <c r="L255" s="26"/>
      <c r="M255" s="26"/>
      <c r="N255" s="26"/>
      <c r="O255" s="72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G255" s="28"/>
      <c r="AH255" s="28"/>
      <c r="AI255" s="65"/>
      <c r="AK255" s="65"/>
      <c r="AL255" s="28"/>
      <c r="AM255" s="32"/>
    </row>
    <row r="256" spans="1:39" s="27" customFormat="1" ht="12.75" customHeight="1">
      <c r="A256" s="22"/>
      <c r="B256" s="153"/>
      <c r="C256" s="8"/>
      <c r="D256" s="34"/>
      <c r="E256" s="154"/>
      <c r="F256" s="155"/>
      <c r="G256" s="23"/>
      <c r="H256" s="24"/>
      <c r="I256" s="24"/>
      <c r="J256" s="24"/>
      <c r="K256" s="25"/>
      <c r="L256" s="26"/>
      <c r="M256" s="26"/>
      <c r="N256" s="26"/>
      <c r="O256" s="72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G256" s="28"/>
      <c r="AH256" s="28"/>
      <c r="AI256" s="65"/>
      <c r="AK256" s="65"/>
      <c r="AL256" s="28"/>
      <c r="AM256" s="32"/>
    </row>
    <row r="257" spans="1:39" s="27" customFormat="1" ht="12.75" customHeight="1">
      <c r="A257" s="22"/>
      <c r="B257" s="153"/>
      <c r="C257" s="8"/>
      <c r="D257" s="34"/>
      <c r="E257" s="154"/>
      <c r="F257" s="155"/>
      <c r="G257" s="23"/>
      <c r="H257" s="24"/>
      <c r="I257" s="24"/>
      <c r="J257" s="24"/>
      <c r="K257" s="25"/>
      <c r="L257" s="26"/>
      <c r="M257" s="26"/>
      <c r="N257" s="26"/>
      <c r="O257" s="72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G257" s="28"/>
      <c r="AH257" s="28"/>
      <c r="AI257" s="65"/>
      <c r="AK257" s="65"/>
      <c r="AL257" s="28"/>
      <c r="AM257" s="32"/>
    </row>
    <row r="258" spans="1:39" s="27" customFormat="1" ht="12.75" customHeight="1">
      <c r="A258" s="22"/>
      <c r="B258" s="153"/>
      <c r="C258" s="8"/>
      <c r="D258" s="34"/>
      <c r="E258" s="154"/>
      <c r="F258" s="155"/>
      <c r="G258" s="23"/>
      <c r="H258" s="24"/>
      <c r="I258" s="24"/>
      <c r="J258" s="24"/>
      <c r="K258" s="25"/>
      <c r="L258" s="26"/>
      <c r="M258" s="26"/>
      <c r="N258" s="26"/>
      <c r="O258" s="72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G258" s="28"/>
      <c r="AH258" s="28"/>
      <c r="AI258" s="65"/>
      <c r="AK258" s="65"/>
      <c r="AL258" s="28"/>
      <c r="AM258" s="32"/>
    </row>
    <row r="259" spans="1:39" s="27" customFormat="1" ht="12.75" customHeight="1">
      <c r="A259" s="22"/>
      <c r="B259" s="153"/>
      <c r="C259" s="8"/>
      <c r="D259" s="34"/>
      <c r="E259" s="154"/>
      <c r="F259" s="155"/>
      <c r="G259" s="23"/>
      <c r="H259" s="24"/>
      <c r="I259" s="24"/>
      <c r="J259" s="24"/>
      <c r="K259" s="25"/>
      <c r="L259" s="26"/>
      <c r="M259" s="26"/>
      <c r="N259" s="26"/>
      <c r="O259" s="72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G259" s="28"/>
      <c r="AH259" s="28"/>
      <c r="AI259" s="65"/>
      <c r="AK259" s="65"/>
      <c r="AL259" s="28"/>
      <c r="AM259" s="32"/>
    </row>
    <row r="260" spans="1:39" s="27" customFormat="1" ht="12.75" customHeight="1">
      <c r="A260" s="22"/>
      <c r="B260" s="153"/>
      <c r="C260" s="8"/>
      <c r="D260" s="34"/>
      <c r="E260" s="154"/>
      <c r="F260" s="155"/>
      <c r="G260" s="23"/>
      <c r="H260" s="24"/>
      <c r="I260" s="24"/>
      <c r="J260" s="24"/>
      <c r="K260" s="25"/>
      <c r="L260" s="26"/>
      <c r="M260" s="26"/>
      <c r="N260" s="26"/>
      <c r="O260" s="72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G260" s="28"/>
      <c r="AH260" s="28"/>
      <c r="AI260" s="65"/>
      <c r="AK260" s="65"/>
      <c r="AL260" s="28"/>
      <c r="AM260" s="32"/>
    </row>
    <row r="261" spans="1:39" s="27" customFormat="1" ht="12.75" customHeight="1">
      <c r="A261" s="22"/>
      <c r="B261" s="153"/>
      <c r="C261" s="8"/>
      <c r="D261" s="34"/>
      <c r="E261" s="154"/>
      <c r="F261" s="155"/>
      <c r="G261" s="23"/>
      <c r="H261" s="24"/>
      <c r="I261" s="24"/>
      <c r="J261" s="24"/>
      <c r="K261" s="25"/>
      <c r="L261" s="26"/>
      <c r="M261" s="26"/>
      <c r="N261" s="26"/>
      <c r="O261" s="72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G261" s="28"/>
      <c r="AH261" s="28"/>
      <c r="AI261" s="65"/>
      <c r="AK261" s="65"/>
      <c r="AL261" s="28"/>
      <c r="AM261" s="32"/>
    </row>
    <row r="262" spans="1:39" s="27" customFormat="1" ht="12.75" customHeight="1">
      <c r="A262" s="22"/>
      <c r="B262" s="153"/>
      <c r="C262" s="8"/>
      <c r="D262" s="34"/>
      <c r="E262" s="154"/>
      <c r="F262" s="155"/>
      <c r="G262" s="23"/>
      <c r="H262" s="24"/>
      <c r="I262" s="24"/>
      <c r="J262" s="24"/>
      <c r="K262" s="25"/>
      <c r="L262" s="26"/>
      <c r="M262" s="26"/>
      <c r="N262" s="26"/>
      <c r="O262" s="72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G262" s="28"/>
      <c r="AH262" s="28"/>
      <c r="AI262" s="65"/>
      <c r="AK262" s="65"/>
      <c r="AL262" s="28"/>
      <c r="AM262" s="32"/>
    </row>
    <row r="263" spans="1:39" s="27" customFormat="1" ht="12.75" customHeight="1">
      <c r="A263" s="22"/>
      <c r="B263" s="153"/>
      <c r="C263" s="8"/>
      <c r="D263" s="34"/>
      <c r="E263" s="154"/>
      <c r="F263" s="155"/>
      <c r="G263" s="23"/>
      <c r="H263" s="24"/>
      <c r="I263" s="24"/>
      <c r="J263" s="24"/>
      <c r="K263" s="25"/>
      <c r="L263" s="26"/>
      <c r="M263" s="26"/>
      <c r="N263" s="26"/>
      <c r="O263" s="72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G263" s="28"/>
      <c r="AH263" s="28"/>
      <c r="AI263" s="65"/>
      <c r="AK263" s="65"/>
      <c r="AL263" s="28"/>
      <c r="AM263" s="32"/>
    </row>
    <row r="264" spans="1:39" s="27" customFormat="1" ht="12.75" customHeight="1">
      <c r="A264" s="22"/>
      <c r="B264" s="153"/>
      <c r="C264" s="8"/>
      <c r="D264" s="34"/>
      <c r="E264" s="154"/>
      <c r="F264" s="155"/>
      <c r="G264" s="23"/>
      <c r="H264" s="24"/>
      <c r="I264" s="24"/>
      <c r="J264" s="24"/>
      <c r="K264" s="25"/>
      <c r="L264" s="26"/>
      <c r="M264" s="26"/>
      <c r="N264" s="26"/>
      <c r="O264" s="72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G264" s="28"/>
      <c r="AH264" s="28"/>
      <c r="AI264" s="65"/>
      <c r="AK264" s="65"/>
      <c r="AL264" s="28"/>
      <c r="AM264" s="32"/>
    </row>
    <row r="265" spans="1:39" s="27" customFormat="1" ht="12.75" customHeight="1">
      <c r="A265" s="22"/>
      <c r="B265" s="153"/>
      <c r="C265" s="8"/>
      <c r="D265" s="34"/>
      <c r="E265" s="154"/>
      <c r="F265" s="155"/>
      <c r="G265" s="23"/>
      <c r="H265" s="24"/>
      <c r="I265" s="24"/>
      <c r="J265" s="24"/>
      <c r="K265" s="25"/>
      <c r="L265" s="26"/>
      <c r="M265" s="26"/>
      <c r="N265" s="26"/>
      <c r="O265" s="72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G265" s="28"/>
      <c r="AH265" s="28"/>
      <c r="AI265" s="65"/>
      <c r="AK265" s="65"/>
      <c r="AL265" s="28"/>
      <c r="AM265" s="32"/>
    </row>
    <row r="266" spans="1:39" s="27" customFormat="1" ht="12.75" customHeight="1">
      <c r="A266" s="22"/>
      <c r="B266" s="153"/>
      <c r="C266" s="8"/>
      <c r="D266" s="34"/>
      <c r="E266" s="154"/>
      <c r="F266" s="155"/>
      <c r="G266" s="23"/>
      <c r="H266" s="24"/>
      <c r="I266" s="24"/>
      <c r="J266" s="24"/>
      <c r="K266" s="25"/>
      <c r="L266" s="26"/>
      <c r="M266" s="26"/>
      <c r="N266" s="26"/>
      <c r="O266" s="72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G266" s="28"/>
      <c r="AH266" s="28"/>
      <c r="AI266" s="65"/>
      <c r="AK266" s="65"/>
      <c r="AL266" s="28"/>
      <c r="AM266" s="32"/>
    </row>
    <row r="267" spans="1:39" s="27" customFormat="1" ht="12.75" customHeight="1">
      <c r="A267" s="22"/>
      <c r="B267" s="153"/>
      <c r="C267" s="8"/>
      <c r="D267" s="34"/>
      <c r="E267" s="154"/>
      <c r="F267" s="155"/>
      <c r="G267" s="23"/>
      <c r="H267" s="24"/>
      <c r="I267" s="24"/>
      <c r="J267" s="24"/>
      <c r="K267" s="25"/>
      <c r="L267" s="26"/>
      <c r="M267" s="26"/>
      <c r="N267" s="26"/>
      <c r="O267" s="72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G267" s="28"/>
      <c r="AH267" s="28"/>
      <c r="AI267" s="65"/>
      <c r="AK267" s="65"/>
      <c r="AL267" s="28"/>
      <c r="AM267" s="32"/>
    </row>
    <row r="268" spans="1:39" s="27" customFormat="1" ht="12.75" customHeight="1">
      <c r="A268" s="22"/>
      <c r="B268" s="153"/>
      <c r="C268" s="8"/>
      <c r="D268" s="34"/>
      <c r="E268" s="154"/>
      <c r="F268" s="155"/>
      <c r="G268" s="23"/>
      <c r="H268" s="24"/>
      <c r="I268" s="24"/>
      <c r="J268" s="24"/>
      <c r="K268" s="25"/>
      <c r="L268" s="26"/>
      <c r="M268" s="26"/>
      <c r="N268" s="26"/>
      <c r="O268" s="72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G268" s="28"/>
      <c r="AH268" s="28"/>
      <c r="AI268" s="65"/>
      <c r="AK268" s="65"/>
      <c r="AL268" s="28"/>
      <c r="AM268" s="32"/>
    </row>
    <row r="269" spans="1:39" s="27" customFormat="1" ht="12.75" customHeight="1">
      <c r="A269" s="22"/>
      <c r="B269" s="153"/>
      <c r="C269" s="8"/>
      <c r="D269" s="34"/>
      <c r="E269" s="154"/>
      <c r="F269" s="155"/>
      <c r="G269" s="23"/>
      <c r="H269" s="24"/>
      <c r="I269" s="24"/>
      <c r="J269" s="24"/>
      <c r="K269" s="25"/>
      <c r="L269" s="26"/>
      <c r="M269" s="26"/>
      <c r="N269" s="26"/>
      <c r="O269" s="72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G269" s="28"/>
      <c r="AH269" s="28"/>
      <c r="AI269" s="65"/>
      <c r="AK269" s="65"/>
      <c r="AL269" s="28"/>
      <c r="AM269" s="32"/>
    </row>
    <row r="270" spans="1:39" s="27" customFormat="1" ht="12.75" customHeight="1">
      <c r="A270" s="22"/>
      <c r="B270" s="153"/>
      <c r="C270" s="8"/>
      <c r="D270" s="34"/>
      <c r="E270" s="154"/>
      <c r="F270" s="155"/>
      <c r="G270" s="23"/>
      <c r="H270" s="24"/>
      <c r="I270" s="24"/>
      <c r="J270" s="24"/>
      <c r="K270" s="25"/>
      <c r="L270" s="26"/>
      <c r="M270" s="26"/>
      <c r="N270" s="26"/>
      <c r="O270" s="72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G270" s="28"/>
      <c r="AH270" s="28"/>
      <c r="AI270" s="65"/>
      <c r="AK270" s="65"/>
      <c r="AL270" s="28"/>
      <c r="AM270" s="32"/>
    </row>
    <row r="271" spans="1:39" s="27" customFormat="1" ht="12.75" customHeight="1">
      <c r="A271" s="22"/>
      <c r="B271" s="153"/>
      <c r="C271" s="8"/>
      <c r="D271" s="34"/>
      <c r="E271" s="154"/>
      <c r="F271" s="155"/>
      <c r="G271" s="23"/>
      <c r="H271" s="24"/>
      <c r="I271" s="24"/>
      <c r="J271" s="24"/>
      <c r="K271" s="25"/>
      <c r="L271" s="26"/>
      <c r="M271" s="26"/>
      <c r="N271" s="26"/>
      <c r="O271" s="72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G271" s="28"/>
      <c r="AH271" s="28"/>
      <c r="AI271" s="65"/>
      <c r="AK271" s="65"/>
      <c r="AL271" s="28"/>
      <c r="AM271" s="32"/>
    </row>
    <row r="272" spans="1:39" s="27" customFormat="1" ht="12.75" customHeight="1">
      <c r="A272" s="22"/>
      <c r="B272" s="153"/>
      <c r="C272" s="8"/>
      <c r="D272" s="34"/>
      <c r="E272" s="154"/>
      <c r="F272" s="155"/>
      <c r="G272" s="23"/>
      <c r="H272" s="24"/>
      <c r="I272" s="24"/>
      <c r="J272" s="24"/>
      <c r="K272" s="25"/>
      <c r="L272" s="26"/>
      <c r="M272" s="26"/>
      <c r="N272" s="26"/>
      <c r="O272" s="72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G272" s="28"/>
      <c r="AH272" s="28"/>
      <c r="AI272" s="65"/>
      <c r="AK272" s="65"/>
      <c r="AL272" s="28"/>
      <c r="AM272" s="32"/>
    </row>
    <row r="273" spans="1:39" s="27" customFormat="1" ht="12.75" customHeight="1">
      <c r="A273" s="22"/>
      <c r="B273" s="153"/>
      <c r="C273" s="8"/>
      <c r="D273" s="34"/>
      <c r="E273" s="154"/>
      <c r="F273" s="155"/>
      <c r="G273" s="23"/>
      <c r="H273" s="24"/>
      <c r="I273" s="24"/>
      <c r="J273" s="24"/>
      <c r="K273" s="25"/>
      <c r="L273" s="26"/>
      <c r="M273" s="26"/>
      <c r="N273" s="26"/>
      <c r="O273" s="72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G273" s="28"/>
      <c r="AH273" s="28"/>
      <c r="AI273" s="65"/>
      <c r="AK273" s="65"/>
      <c r="AL273" s="28"/>
      <c r="AM273" s="32"/>
    </row>
    <row r="274" spans="1:39" s="27" customFormat="1" ht="12.75" customHeight="1">
      <c r="A274" s="22"/>
      <c r="B274" s="153"/>
      <c r="C274" s="8"/>
      <c r="D274" s="34"/>
      <c r="E274" s="154"/>
      <c r="F274" s="155"/>
      <c r="G274" s="23"/>
      <c r="H274" s="24"/>
      <c r="I274" s="24"/>
      <c r="J274" s="24"/>
      <c r="K274" s="25"/>
      <c r="L274" s="26"/>
      <c r="M274" s="26"/>
      <c r="N274" s="26"/>
      <c r="O274" s="72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G274" s="28"/>
      <c r="AH274" s="28"/>
      <c r="AI274" s="65"/>
      <c r="AK274" s="65"/>
      <c r="AL274" s="28"/>
      <c r="AM274" s="32"/>
    </row>
    <row r="275" spans="1:39" s="27" customFormat="1" ht="12.75" customHeight="1">
      <c r="A275" s="22"/>
      <c r="B275" s="153"/>
      <c r="C275" s="8"/>
      <c r="D275" s="34"/>
      <c r="E275" s="154"/>
      <c r="F275" s="155"/>
      <c r="G275" s="23"/>
      <c r="H275" s="24"/>
      <c r="I275" s="24"/>
      <c r="J275" s="24"/>
      <c r="K275" s="25"/>
      <c r="L275" s="26"/>
      <c r="M275" s="26"/>
      <c r="N275" s="26"/>
      <c r="O275" s="72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G275" s="28"/>
      <c r="AH275" s="28"/>
      <c r="AI275" s="65"/>
      <c r="AK275" s="65"/>
      <c r="AL275" s="28"/>
      <c r="AM275" s="32"/>
    </row>
    <row r="276" spans="1:39" s="27" customFormat="1" ht="12.75" customHeight="1">
      <c r="A276" s="22"/>
      <c r="B276" s="153"/>
      <c r="C276" s="8"/>
      <c r="D276" s="34"/>
      <c r="E276" s="154"/>
      <c r="F276" s="155"/>
      <c r="G276" s="23"/>
      <c r="H276" s="24"/>
      <c r="I276" s="24"/>
      <c r="J276" s="24"/>
      <c r="K276" s="25"/>
      <c r="L276" s="26"/>
      <c r="M276" s="26"/>
      <c r="N276" s="26"/>
      <c r="O276" s="72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G276" s="28"/>
      <c r="AH276" s="28"/>
      <c r="AI276" s="65"/>
      <c r="AK276" s="65"/>
      <c r="AL276" s="28"/>
      <c r="AM276" s="32"/>
    </row>
    <row r="277" spans="1:39" s="27" customFormat="1" ht="12.75" customHeight="1">
      <c r="A277" s="22"/>
      <c r="B277" s="153"/>
      <c r="C277" s="8"/>
      <c r="D277" s="34"/>
      <c r="E277" s="154"/>
      <c r="F277" s="155"/>
      <c r="G277" s="23"/>
      <c r="H277" s="24"/>
      <c r="I277" s="24"/>
      <c r="J277" s="24"/>
      <c r="K277" s="25"/>
      <c r="L277" s="26"/>
      <c r="M277" s="26"/>
      <c r="N277" s="26"/>
      <c r="O277" s="72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G277" s="28"/>
      <c r="AH277" s="28"/>
      <c r="AI277" s="65"/>
      <c r="AK277" s="65"/>
      <c r="AL277" s="28"/>
      <c r="AM277" s="32"/>
    </row>
    <row r="278" spans="1:39" s="27" customFormat="1" ht="12.75" customHeight="1">
      <c r="A278" s="22"/>
      <c r="B278" s="153"/>
      <c r="C278" s="8"/>
      <c r="D278" s="34"/>
      <c r="E278" s="154"/>
      <c r="F278" s="155"/>
      <c r="G278" s="23"/>
      <c r="H278" s="24"/>
      <c r="I278" s="24"/>
      <c r="J278" s="24"/>
      <c r="K278" s="25"/>
      <c r="L278" s="26"/>
      <c r="M278" s="26"/>
      <c r="N278" s="26"/>
      <c r="O278" s="72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G278" s="28"/>
      <c r="AH278" s="28"/>
      <c r="AI278" s="65"/>
      <c r="AK278" s="65"/>
      <c r="AL278" s="28"/>
      <c r="AM278" s="32"/>
    </row>
    <row r="279" spans="1:39" s="27" customFormat="1" ht="12.75" customHeight="1">
      <c r="A279" s="22"/>
      <c r="B279" s="153"/>
      <c r="C279" s="8"/>
      <c r="D279" s="34"/>
      <c r="E279" s="154"/>
      <c r="F279" s="155"/>
      <c r="G279" s="23"/>
      <c r="H279" s="24"/>
      <c r="I279" s="24"/>
      <c r="J279" s="24"/>
      <c r="K279" s="25"/>
      <c r="L279" s="26"/>
      <c r="M279" s="26"/>
      <c r="N279" s="26"/>
      <c r="O279" s="72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G279" s="28"/>
      <c r="AH279" s="28"/>
      <c r="AI279" s="65"/>
      <c r="AK279" s="65"/>
      <c r="AL279" s="28"/>
      <c r="AM279" s="32"/>
    </row>
    <row r="280" spans="1:39" s="27" customFormat="1" ht="12.75" customHeight="1">
      <c r="A280" s="22"/>
      <c r="B280" s="153"/>
      <c r="C280" s="8"/>
      <c r="D280" s="34"/>
      <c r="E280" s="154"/>
      <c r="F280" s="155"/>
      <c r="G280" s="23"/>
      <c r="H280" s="24"/>
      <c r="I280" s="24"/>
      <c r="J280" s="24"/>
      <c r="K280" s="25"/>
      <c r="L280" s="26"/>
      <c r="M280" s="26"/>
      <c r="N280" s="26"/>
      <c r="O280" s="72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G280" s="28"/>
      <c r="AH280" s="28"/>
      <c r="AI280" s="65"/>
      <c r="AK280" s="65"/>
      <c r="AL280" s="28"/>
      <c r="AM280" s="32"/>
    </row>
    <row r="281" spans="1:39" s="27" customFormat="1" ht="12.75" customHeight="1">
      <c r="A281" s="22"/>
      <c r="B281" s="153"/>
      <c r="C281" s="8"/>
      <c r="D281" s="34"/>
      <c r="E281" s="154"/>
      <c r="F281" s="155"/>
      <c r="G281" s="23"/>
      <c r="H281" s="24"/>
      <c r="I281" s="24"/>
      <c r="J281" s="24"/>
      <c r="K281" s="25"/>
      <c r="L281" s="26"/>
      <c r="M281" s="26"/>
      <c r="N281" s="26"/>
      <c r="O281" s="72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G281" s="28"/>
      <c r="AH281" s="28"/>
      <c r="AI281" s="65"/>
      <c r="AK281" s="65"/>
      <c r="AL281" s="28"/>
      <c r="AM281" s="32"/>
    </row>
    <row r="282" spans="1:39" s="27" customFormat="1" ht="12.75" customHeight="1">
      <c r="A282" s="22"/>
      <c r="B282" s="153"/>
      <c r="C282" s="8"/>
      <c r="D282" s="34"/>
      <c r="E282" s="154"/>
      <c r="F282" s="155"/>
      <c r="G282" s="23"/>
      <c r="H282" s="24"/>
      <c r="I282" s="24"/>
      <c r="J282" s="24"/>
      <c r="K282" s="25"/>
      <c r="L282" s="26"/>
      <c r="M282" s="26"/>
      <c r="N282" s="26"/>
      <c r="O282" s="72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G282" s="28"/>
      <c r="AH282" s="28"/>
      <c r="AI282" s="65"/>
      <c r="AK282" s="65"/>
      <c r="AL282" s="28"/>
      <c r="AM282" s="32"/>
    </row>
    <row r="283" spans="1:39" s="27" customFormat="1" ht="12.75" customHeight="1">
      <c r="A283" s="22"/>
      <c r="B283" s="153"/>
      <c r="C283" s="8"/>
      <c r="D283" s="34"/>
      <c r="E283" s="154"/>
      <c r="F283" s="155"/>
      <c r="G283" s="23"/>
      <c r="H283" s="24"/>
      <c r="I283" s="24"/>
      <c r="J283" s="24"/>
      <c r="K283" s="25"/>
      <c r="L283" s="26"/>
      <c r="M283" s="26"/>
      <c r="N283" s="26"/>
      <c r="O283" s="72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G283" s="28"/>
      <c r="AH283" s="28"/>
      <c r="AI283" s="65"/>
      <c r="AK283" s="65"/>
      <c r="AL283" s="28"/>
      <c r="AM283" s="32"/>
    </row>
    <row r="284" spans="1:39" s="27" customFormat="1" ht="12.75" customHeight="1">
      <c r="A284" s="22"/>
      <c r="B284" s="153"/>
      <c r="C284" s="8"/>
      <c r="D284" s="34"/>
      <c r="E284" s="154"/>
      <c r="F284" s="155"/>
      <c r="G284" s="23"/>
      <c r="H284" s="24"/>
      <c r="I284" s="24"/>
      <c r="J284" s="24"/>
      <c r="K284" s="25"/>
      <c r="L284" s="26"/>
      <c r="M284" s="26"/>
      <c r="N284" s="26"/>
      <c r="O284" s="72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G284" s="28"/>
      <c r="AH284" s="28"/>
      <c r="AI284" s="65"/>
      <c r="AK284" s="65"/>
      <c r="AL284" s="28"/>
      <c r="AM284" s="32"/>
    </row>
    <row r="285" spans="1:39" s="27" customFormat="1" ht="12.75" customHeight="1">
      <c r="A285" s="22"/>
      <c r="B285" s="153"/>
      <c r="C285" s="8"/>
      <c r="D285" s="34"/>
      <c r="E285" s="154"/>
      <c r="F285" s="155"/>
      <c r="G285" s="23"/>
      <c r="H285" s="24"/>
      <c r="I285" s="24"/>
      <c r="J285" s="24"/>
      <c r="K285" s="25"/>
      <c r="L285" s="26"/>
      <c r="M285" s="26"/>
      <c r="N285" s="26"/>
      <c r="O285" s="72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G285" s="28"/>
      <c r="AH285" s="28"/>
      <c r="AI285" s="65"/>
      <c r="AK285" s="65"/>
      <c r="AL285" s="28"/>
      <c r="AM285" s="32"/>
    </row>
    <row r="286" spans="1:39" s="27" customFormat="1" ht="12.75" customHeight="1">
      <c r="A286" s="22"/>
      <c r="B286" s="153"/>
      <c r="C286" s="8"/>
      <c r="D286" s="34"/>
      <c r="E286" s="154"/>
      <c r="F286" s="155"/>
      <c r="G286" s="23"/>
      <c r="H286" s="24"/>
      <c r="I286" s="24"/>
      <c r="J286" s="24"/>
      <c r="K286" s="25"/>
      <c r="L286" s="26"/>
      <c r="M286" s="26"/>
      <c r="N286" s="26"/>
      <c r="O286" s="72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G286" s="28"/>
      <c r="AH286" s="28"/>
      <c r="AI286" s="65"/>
      <c r="AK286" s="65"/>
      <c r="AL286" s="28"/>
      <c r="AM286" s="32"/>
    </row>
    <row r="287" spans="1:39" s="27" customFormat="1" ht="12.75" customHeight="1">
      <c r="A287" s="22"/>
      <c r="B287" s="153"/>
      <c r="C287" s="8"/>
      <c r="D287" s="34"/>
      <c r="E287" s="154"/>
      <c r="F287" s="155"/>
      <c r="G287" s="23"/>
      <c r="H287" s="24"/>
      <c r="I287" s="24"/>
      <c r="J287" s="24"/>
      <c r="K287" s="25"/>
      <c r="L287" s="26"/>
      <c r="M287" s="26"/>
      <c r="N287" s="26"/>
      <c r="O287" s="72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G287" s="28"/>
      <c r="AH287" s="28"/>
      <c r="AI287" s="65"/>
      <c r="AK287" s="65"/>
      <c r="AL287" s="28"/>
      <c r="AM287" s="32"/>
    </row>
    <row r="288" spans="1:39" s="27" customFormat="1" ht="12.75" customHeight="1">
      <c r="A288" s="22"/>
      <c r="B288" s="153"/>
      <c r="C288" s="8"/>
      <c r="D288" s="34"/>
      <c r="E288" s="154"/>
      <c r="F288" s="155"/>
      <c r="G288" s="23"/>
      <c r="H288" s="24"/>
      <c r="I288" s="24"/>
      <c r="J288" s="24"/>
      <c r="K288" s="25"/>
      <c r="L288" s="26"/>
      <c r="M288" s="26"/>
      <c r="N288" s="26"/>
      <c r="O288" s="72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G288" s="28"/>
      <c r="AH288" s="28"/>
      <c r="AI288" s="65"/>
      <c r="AK288" s="65"/>
      <c r="AL288" s="28"/>
      <c r="AM288" s="32"/>
    </row>
    <row r="289" spans="1:39" s="27" customFormat="1" ht="12.75" customHeight="1">
      <c r="A289" s="22"/>
      <c r="B289" s="153"/>
      <c r="C289" s="8"/>
      <c r="D289" s="34"/>
      <c r="E289" s="154"/>
      <c r="F289" s="155"/>
      <c r="G289" s="23"/>
      <c r="H289" s="24"/>
      <c r="I289" s="24"/>
      <c r="J289" s="24"/>
      <c r="K289" s="25"/>
      <c r="L289" s="26"/>
      <c r="M289" s="26"/>
      <c r="N289" s="26"/>
      <c r="O289" s="72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G289" s="28"/>
      <c r="AH289" s="28"/>
      <c r="AI289" s="65"/>
      <c r="AK289" s="65"/>
      <c r="AL289" s="28"/>
      <c r="AM289" s="32"/>
    </row>
    <row r="290" spans="1:39" s="27" customFormat="1" ht="12.75" customHeight="1">
      <c r="A290" s="22"/>
      <c r="B290" s="153"/>
      <c r="C290" s="8"/>
      <c r="D290" s="34"/>
      <c r="E290" s="154"/>
      <c r="F290" s="155"/>
      <c r="G290" s="23"/>
      <c r="H290" s="24"/>
      <c r="I290" s="24"/>
      <c r="J290" s="24"/>
      <c r="K290" s="25"/>
      <c r="L290" s="26"/>
      <c r="M290" s="26"/>
      <c r="N290" s="26"/>
      <c r="O290" s="72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G290" s="28"/>
      <c r="AH290" s="28"/>
      <c r="AI290" s="65"/>
      <c r="AK290" s="65"/>
      <c r="AL290" s="28"/>
      <c r="AM290" s="32"/>
    </row>
    <row r="291" spans="1:39" s="27" customFormat="1" ht="12.75" customHeight="1">
      <c r="A291" s="22"/>
      <c r="B291" s="153"/>
      <c r="C291" s="8"/>
      <c r="D291" s="34"/>
      <c r="E291" s="154"/>
      <c r="F291" s="155"/>
      <c r="G291" s="23"/>
      <c r="H291" s="24"/>
      <c r="I291" s="24"/>
      <c r="J291" s="24"/>
      <c r="K291" s="25"/>
      <c r="L291" s="26"/>
      <c r="M291" s="26"/>
      <c r="N291" s="26"/>
      <c r="O291" s="72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G291" s="28"/>
      <c r="AH291" s="28"/>
      <c r="AI291" s="65"/>
      <c r="AK291" s="65"/>
      <c r="AL291" s="28"/>
      <c r="AM291" s="32"/>
    </row>
    <row r="292" spans="1:39" s="27" customFormat="1" ht="12.75" customHeight="1">
      <c r="A292" s="22"/>
      <c r="B292" s="153"/>
      <c r="C292" s="8"/>
      <c r="D292" s="34"/>
      <c r="E292" s="154"/>
      <c r="F292" s="155"/>
      <c r="G292" s="23"/>
      <c r="H292" s="24"/>
      <c r="I292" s="24"/>
      <c r="J292" s="24"/>
      <c r="K292" s="25"/>
      <c r="L292" s="26"/>
      <c r="M292" s="26"/>
      <c r="N292" s="26"/>
      <c r="O292" s="72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G292" s="28"/>
      <c r="AH292" s="28"/>
      <c r="AI292" s="65"/>
      <c r="AK292" s="65"/>
      <c r="AL292" s="28"/>
      <c r="AM292" s="32"/>
    </row>
    <row r="293" spans="1:39" s="27" customFormat="1" ht="12.75" customHeight="1">
      <c r="A293" s="22"/>
      <c r="B293" s="153"/>
      <c r="C293" s="8"/>
      <c r="D293" s="34"/>
      <c r="E293" s="154"/>
      <c r="F293" s="155"/>
      <c r="G293" s="23"/>
      <c r="H293" s="24"/>
      <c r="I293" s="24"/>
      <c r="J293" s="24"/>
      <c r="K293" s="25"/>
      <c r="L293" s="26"/>
      <c r="M293" s="26"/>
      <c r="N293" s="26"/>
      <c r="O293" s="72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G293" s="28"/>
      <c r="AH293" s="28"/>
      <c r="AI293" s="65"/>
      <c r="AK293" s="65"/>
      <c r="AL293" s="28"/>
      <c r="AM293" s="32"/>
    </row>
    <row r="294" spans="1:39" s="27" customFormat="1" ht="12.75" customHeight="1">
      <c r="A294" s="22"/>
      <c r="B294" s="153"/>
      <c r="C294" s="8"/>
      <c r="D294" s="34"/>
      <c r="E294" s="154"/>
      <c r="F294" s="155"/>
      <c r="G294" s="23"/>
      <c r="H294" s="24"/>
      <c r="I294" s="24"/>
      <c r="J294" s="24"/>
      <c r="K294" s="25"/>
      <c r="L294" s="26"/>
      <c r="M294" s="26"/>
      <c r="N294" s="26"/>
      <c r="O294" s="72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G294" s="28"/>
      <c r="AH294" s="28"/>
      <c r="AI294" s="65"/>
      <c r="AK294" s="65"/>
      <c r="AL294" s="28"/>
      <c r="AM294" s="32"/>
    </row>
    <row r="295" spans="1:39" s="27" customFormat="1" ht="12.75" customHeight="1">
      <c r="A295" s="22"/>
      <c r="B295" s="153"/>
      <c r="C295" s="8"/>
      <c r="D295" s="34"/>
      <c r="E295" s="154"/>
      <c r="F295" s="155"/>
      <c r="G295" s="23"/>
      <c r="H295" s="24"/>
      <c r="I295" s="24"/>
      <c r="J295" s="24"/>
      <c r="K295" s="25"/>
      <c r="L295" s="26"/>
      <c r="M295" s="26"/>
      <c r="N295" s="26"/>
      <c r="O295" s="72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G295" s="28"/>
      <c r="AH295" s="28"/>
      <c r="AI295" s="65"/>
      <c r="AK295" s="65"/>
      <c r="AL295" s="28"/>
      <c r="AM295" s="32"/>
    </row>
    <row r="296" spans="1:39" s="27" customFormat="1" ht="12.75" customHeight="1">
      <c r="A296" s="22"/>
      <c r="B296" s="153"/>
      <c r="C296" s="8"/>
      <c r="D296" s="34"/>
      <c r="E296" s="154"/>
      <c r="F296" s="155"/>
      <c r="G296" s="23"/>
      <c r="H296" s="24"/>
      <c r="I296" s="24"/>
      <c r="J296" s="24"/>
      <c r="K296" s="25"/>
      <c r="L296" s="26"/>
      <c r="M296" s="26"/>
      <c r="N296" s="26"/>
      <c r="O296" s="72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G296" s="28"/>
      <c r="AH296" s="28"/>
      <c r="AI296" s="65"/>
      <c r="AK296" s="65"/>
      <c r="AL296" s="28"/>
      <c r="AM296" s="32"/>
    </row>
    <row r="297" spans="1:39" s="27" customFormat="1" ht="12.75" customHeight="1">
      <c r="A297" s="22"/>
      <c r="B297" s="153"/>
      <c r="C297" s="8"/>
      <c r="D297" s="34"/>
      <c r="E297" s="154"/>
      <c r="F297" s="155"/>
      <c r="G297" s="23"/>
      <c r="H297" s="24"/>
      <c r="I297" s="24"/>
      <c r="J297" s="24"/>
      <c r="K297" s="25"/>
      <c r="L297" s="26"/>
      <c r="M297" s="26"/>
      <c r="N297" s="26"/>
      <c r="O297" s="72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G297" s="28"/>
      <c r="AH297" s="28"/>
      <c r="AI297" s="65"/>
      <c r="AK297" s="65"/>
      <c r="AL297" s="28"/>
      <c r="AM297" s="32"/>
    </row>
    <row r="298" spans="1:39" s="27" customFormat="1" ht="12.75" customHeight="1">
      <c r="A298" s="22"/>
      <c r="B298" s="153"/>
      <c r="C298" s="8"/>
      <c r="D298" s="34"/>
      <c r="E298" s="154"/>
      <c r="F298" s="155"/>
      <c r="G298" s="23"/>
      <c r="H298" s="24"/>
      <c r="I298" s="24"/>
      <c r="J298" s="24"/>
      <c r="K298" s="25"/>
      <c r="L298" s="26"/>
      <c r="M298" s="26"/>
      <c r="N298" s="26"/>
      <c r="O298" s="72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G298" s="28"/>
      <c r="AH298" s="28"/>
      <c r="AI298" s="65"/>
      <c r="AK298" s="65"/>
      <c r="AL298" s="28"/>
      <c r="AM298" s="32"/>
    </row>
    <row r="299" spans="1:39" s="27" customFormat="1" ht="12.75" customHeight="1">
      <c r="A299" s="22"/>
      <c r="B299" s="153"/>
      <c r="C299" s="8"/>
      <c r="D299" s="34"/>
      <c r="E299" s="154"/>
      <c r="F299" s="155"/>
      <c r="G299" s="23"/>
      <c r="H299" s="24"/>
      <c r="I299" s="24"/>
      <c r="J299" s="24"/>
      <c r="K299" s="25"/>
      <c r="L299" s="26"/>
      <c r="M299" s="26"/>
      <c r="N299" s="26"/>
      <c r="O299" s="72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G299" s="28"/>
      <c r="AH299" s="28"/>
      <c r="AI299" s="65"/>
      <c r="AK299" s="65"/>
      <c r="AL299" s="28"/>
      <c r="AM299" s="32"/>
    </row>
  </sheetData>
  <autoFilter ref="A4:ALK24" xr:uid="{00000000-0009-0000-0000-000001000000}"/>
  <mergeCells count="40">
    <mergeCell ref="AK3:AK4"/>
    <mergeCell ref="AL3:AL4"/>
    <mergeCell ref="AM3:AM4"/>
    <mergeCell ref="A25:F25"/>
    <mergeCell ref="AE3:AE4"/>
    <mergeCell ref="AF3:AF4"/>
    <mergeCell ref="AG3:AG4"/>
    <mergeCell ref="AH3:AH4"/>
    <mergeCell ref="AI3:AI4"/>
    <mergeCell ref="AJ3:AJ4"/>
    <mergeCell ref="Y3:Y4"/>
    <mergeCell ref="Z3:Z4"/>
    <mergeCell ref="AA3:AA4"/>
    <mergeCell ref="AB3:AB4"/>
    <mergeCell ref="AC3:AC4"/>
    <mergeCell ref="AD3:AD4"/>
    <mergeCell ref="S3:S4"/>
    <mergeCell ref="T3:T4"/>
    <mergeCell ref="U3:U4"/>
    <mergeCell ref="V3:V4"/>
    <mergeCell ref="W3:W4"/>
    <mergeCell ref="X3:X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conditionalFormatting sqref="A5:A24">
    <cfRule type="expression" dxfId="9" priority="2">
      <formula>WEEKDAY(#REF!)=1</formula>
    </cfRule>
  </conditionalFormatting>
  <conditionalFormatting sqref="B5:B24">
    <cfRule type="cellIs" dxfId="8" priority="16" operator="equal">
      <formula>"Nghỉ"</formula>
    </cfRule>
  </conditionalFormatting>
  <conditionalFormatting sqref="C9">
    <cfRule type="expression" dxfId="7" priority="20">
      <formula>WEEKDAY(#REF!)=1</formula>
    </cfRule>
  </conditionalFormatting>
  <conditionalFormatting sqref="C8:D8 F8:F14">
    <cfRule type="expression" dxfId="6" priority="18">
      <formula>WEEKDAY(#REF!)=1</formula>
    </cfRule>
  </conditionalFormatting>
  <conditionalFormatting sqref="C11:D11">
    <cfRule type="expression" dxfId="5" priority="19">
      <formula>WEEKDAY(#REF!)=1</formula>
    </cfRule>
  </conditionalFormatting>
  <conditionalFormatting sqref="E8:E12 D12 D13:E13 C14:E14 C15:F16">
    <cfRule type="expression" dxfId="4" priority="23">
      <formula>WEEKDAY(#REF!)=1</formula>
    </cfRule>
  </conditionalFormatting>
  <conditionalFormatting sqref="C10:F10">
    <cfRule type="expression" dxfId="3" priority="17">
      <formula>WEEKDAY(#REF!)=1</formula>
    </cfRule>
  </conditionalFormatting>
  <conditionalFormatting sqref="D15:F15">
    <cfRule type="expression" dxfId="2" priority="13">
      <formula>WEEKDAY(#REF!)=1</formula>
    </cfRule>
  </conditionalFormatting>
  <conditionalFormatting sqref="D17:F24">
    <cfRule type="expression" dxfId="1" priority="7">
      <formula>WEEKDAY(#REF!)=1</formula>
    </cfRule>
  </conditionalFormatting>
  <conditionalFormatting sqref="AI1:AI1048576">
    <cfRule type="cellIs" dxfId="0" priority="1" operator="lessThan">
      <formula>0</formula>
    </cfRule>
  </conditionalFormatting>
  <printOptions horizontalCentered="1"/>
  <pageMargins left="0" right="0" top="0" bottom="0" header="0" footer="0"/>
  <pageSetup paperSize="8" scale="65" firstPageNumber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Tháng 10</vt:lpstr>
      <vt:lpstr>Tháng 2</vt:lpstr>
      <vt:lpstr>'Tháng 10'!Print_Area</vt:lpstr>
      <vt:lpstr>'Tháng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Dell-7040</cp:lastModifiedBy>
  <cp:lastPrinted>2024-03-05T02:00:34Z</cp:lastPrinted>
  <dcterms:created xsi:type="dcterms:W3CDTF">2022-11-06T03:50:37Z</dcterms:created>
  <dcterms:modified xsi:type="dcterms:W3CDTF">2026-03-13T01:29:47Z</dcterms:modified>
</cp:coreProperties>
</file>