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avido/Documents/davido-toolkit/src/tools/Pay-slip/data/"/>
    </mc:Choice>
  </mc:AlternateContent>
  <xr:revisionPtr revIDLastSave="0" documentId="8_{F75F3DD0-06A9-DD46-8EC3-21924804BBC1}" xr6:coauthVersionLast="47" xr6:coauthVersionMax="47" xr10:uidLastSave="{00000000-0000-0000-0000-000000000000}"/>
  <bookViews>
    <workbookView xWindow="30920" yWindow="4740" windowWidth="26840" windowHeight="15680" xr2:uid="{798EA836-B8DF-324C-AE30-8FC18B945857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A">[1]DM!$T$4:$T$9</definedName>
    <definedName name="CamKetTT">[1]DM!$U$4:$U$5</definedName>
    <definedName name="Chi_Tiet_Suat_An">#REF!</definedName>
    <definedName name="ChiCoNamSinh">[1]DM!$U$4:$U$5</definedName>
    <definedName name="DaCoSo">[1]DM!$U$4:$U$5</definedName>
    <definedName name="GioiTinh">[1]DM!$E$4:$E$5</definedName>
    <definedName name="HeThong">[1]DM!$A$4:$A$5</definedName>
    <definedName name="LoaiD02">[1]DM!$D$4:$D$7</definedName>
    <definedName name="LoaiHoSoHN">[1]DM!$C$4:$C$14</definedName>
    <definedName name="MaLuongTT">[1]DM!$R$4:$R$7</definedName>
    <definedName name="MaPhuong">[3]Data!$I$4:$I$11230</definedName>
    <definedName name="MaQuan">[3]Data!$F$4:$F$713</definedName>
    <definedName name="MaQuanHe">[3]Data!$L$4:$L$7</definedName>
    <definedName name="MaQuocGia">[3]Data!$J$4:$J$5</definedName>
    <definedName name="MaVungSS">[1]DM!$S$4:$S$7</definedName>
    <definedName name="MucHuongBHYT">[1]DM!$Q$4:$Q$8</definedName>
    <definedName name="PhuongAn">[1]DM!$O$4:$O$23</definedName>
    <definedName name="S">[3]Data!$B$4:$B$67</definedName>
    <definedName name="StartingBalance">#REF!</definedName>
    <definedName name="TenPhuong">[3]Data!$G$4:$G$11230</definedName>
    <definedName name="TenQuan">[3]Data!$D$4:$D$713</definedName>
    <definedName name="TenQuocGia">[3]Data!$J$4:$J$5</definedName>
    <definedName name="TenTinh">[3]Data!$B$4:$B$67</definedName>
    <definedName name="THEM">[3]Data!$I$4:$I$11230</definedName>
    <definedName name="TyLeDong">[1]DM!$T$4:$T$9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<sst xmlns="http://schemas.openxmlformats.org/spreadsheetml/2006/main" count="22" uniqueCount="22">
  <si>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Mã NV</t>
  </si>
  <si>
    <t>Tổng TN nội bộ</t>
  </si>
  <si>
    <t>0011</t>
  </si>
  <si>
    <t>0226</t>
  </si>
  <si>
    <t>0220</t>
  </si>
  <si>
    <t>0154</t>
  </si>
  <si>
    <t>0139</t>
  </si>
  <si>
    <t>0107</t>
  </si>
  <si>
    <t>0137</t>
  </si>
  <si>
    <t>0156</t>
  </si>
  <si>
    <t>0089</t>
  </si>
  <si>
    <t>0092</t>
  </si>
  <si>
    <t>0171</t>
  </si>
  <si>
    <t>0173</t>
  </si>
  <si>
    <t>0213</t>
  </si>
  <si>
    <t>0172</t>
  </si>
  <si>
    <t>0170</t>
  </si>
  <si>
    <t>0195</t>
  </si>
  <si>
    <t>0194</t>
  </si>
  <si>
    <t>0187</t>
  </si>
  <si>
    <t>0223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</si>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</sst>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\-??\ _₫_-;_-@_-"/>
    <numFmt numFmtId="165" formatCode="_(* #,##0_);_(* \(#,##0\);_(* \-??_);_(@_)"/>
  </numFmts>
  <fonts count="6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b/>
      <sz val="10"/>
      <color theme="1"/>
      <name val="Aptos"/>
    </font>
    <font>
      <sz val="10"/>
      <color rgb="FF000000"/>
      <name val="Aptos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164" fontId="1" fillId="0" borderId="0" applyBorder="0" applyProtection="0"/>
  </cellStyleXfs>
  <cellXfs count="7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49" fontId="5" fillId="0" borderId="1" xfId="0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 vertical="center"/>
    </xf>
  </cellXfs>
  <cellStyles count="3">
    <cellStyle name="Comma 10" xfId="2" xr:uid="{3354CB4D-6560-F44B-999B-6DC55D50C91D}"/>
    <cellStyle name="Normal" xfId="0" builtinId="0"/>
    <cellStyle name="Normal 10" xfId="1" xr:uid="{93E45BD9-5852-A04E-A6A8-FA1B7BAF9AED}"/>
  </cellStyles>
  <dxfs count="12"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ill>
        <patternFill>
          <bgColor rgb="FF93CDDD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1.%20HR/13.%20Salary_Luong/SALARY%202020/L&#432;&#417;ng%20th&#225;ng%207.2020/Users/QBAH4/Downloads/FileImport-BkavIVAN-(BTF.v300)_HN0_173415_85570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o/Documents/davido-toolkit/src/tools/Pay-slip/data/BANG%20LUONG%20LEONARDO%2010.2025%20(FN).xlsx" TargetMode="External"/><Relationship Id="rId1" Type="http://schemas.openxmlformats.org/officeDocument/2006/relationships/externalLinkPath" Target="BANG%20LUONG%20LEONARDO%2010.2025%20(FN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1.%20HR/13.%20Salary_Luong/SALARY%202020/L&#432;&#417;ng%20th&#225;ng%207.2020/03-Thue%20TNCN/04-Quyet%20toan%20thue/2014-Quyet%20toan%20thue%20TNCN/2014-PCM1/Bang_Ke_05_3_PC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ách Lao Động"/>
      <sheetName val="Phụ lục thành viên Hộ gia đình"/>
      <sheetName val="BkavID"/>
      <sheetName val="DM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áng 10"/>
      <sheetName val="Tháng 2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2C68-1393-164E-AE42-59FF881601F7}">
  <sheetPr>
    <tabColor rgb="FFFF0000"/>
  </sheetPr>
  <dimension ref="A1:D21"/>
  <sheetViews>
    <sheetView tabSelected="1" zoomScale="170" zoomScaleNormal="170" workbookViewId="0">
      <selection activeCell="B3" sqref="B3"/>
    </sheetView>
  </sheetViews>
  <sheetFormatPr baseColWidth="10" defaultRowHeight="15" x14ac:dyDescent="0.2"/>
  <cols>
    <col min="1" max="2" width="22.33203125" customWidth="1"/>
  </cols>
  <sheetData>
    <row r="1" spans="1:4" x14ac:dyDescent="0.2">
      <c r="A1" t="s">
        <v>0</v>
      </c>
      <c r="B1" t="s">
        <v>1</v>
      </c>
    </row>
    <row r="2" spans="1:4" x14ac:dyDescent="0.2">
      <c r="A2" s="1" t="s">
        <v>2</v>
      </c>
      <c r="B2" s="2">
        <v>42200000</v>
      </c>
      <c r="C2" s="3"/>
      <c r="D2" s="4"/>
    </row>
    <row r="3" spans="1:4" x14ac:dyDescent="0.2">
      <c r="A3" s="5" t="s">
        <v>3</v>
      </c>
      <c r="B3" s="2">
        <v>19823709.239130434</v>
      </c>
      <c r="C3" s="6"/>
      <c r="D3" s="4"/>
    </row>
    <row r="4" spans="1:4" x14ac:dyDescent="0.2">
      <c r="A4" s="5" t="s">
        <v>4</v>
      </c>
      <c r="B4" s="2">
        <v>16370503.260869564</v>
      </c>
      <c r="C4" s="6"/>
      <c r="D4" s="4"/>
    </row>
    <row r="5" spans="1:4" x14ac:dyDescent="0.2">
      <c r="A5" s="1" t="s">
        <v>5</v>
      </c>
      <c r="B5" s="2">
        <v>15521019.565217393</v>
      </c>
      <c r="C5" s="3"/>
      <c r="D5" s="4"/>
    </row>
    <row r="6" spans="1:4" x14ac:dyDescent="0.2">
      <c r="A6" s="1" t="s">
        <v>6</v>
      </c>
      <c r="B6" s="2">
        <v>16187862.318840578</v>
      </c>
      <c r="C6" s="3"/>
      <c r="D6" s="4"/>
    </row>
    <row r="7" spans="1:4" x14ac:dyDescent="0.2">
      <c r="A7" s="1" t="s">
        <v>7</v>
      </c>
      <c r="B7" s="2">
        <v>24740768.478260871</v>
      </c>
      <c r="C7" s="3"/>
      <c r="D7" s="4"/>
    </row>
    <row r="8" spans="1:4" x14ac:dyDescent="0.2">
      <c r="A8" s="1" t="s">
        <v>8</v>
      </c>
      <c r="B8" s="2">
        <v>10478546.811594203</v>
      </c>
      <c r="C8" s="3"/>
      <c r="D8" s="4"/>
    </row>
    <row r="9" spans="1:4" x14ac:dyDescent="0.2">
      <c r="A9" s="1" t="s">
        <v>9</v>
      </c>
      <c r="B9" s="2">
        <v>13153079.710144928</v>
      </c>
      <c r="C9" s="3"/>
      <c r="D9" s="4"/>
    </row>
    <row r="10" spans="1:4" x14ac:dyDescent="0.2">
      <c r="A10" s="1" t="s">
        <v>10</v>
      </c>
      <c r="B10" s="2">
        <v>15200979.521739129</v>
      </c>
      <c r="C10" s="3"/>
      <c r="D10" s="4"/>
    </row>
    <row r="11" spans="1:4" x14ac:dyDescent="0.2">
      <c r="A11" s="1" t="s">
        <v>11</v>
      </c>
      <c r="B11" s="2">
        <v>18957711.782608695</v>
      </c>
      <c r="C11" s="6"/>
      <c r="D11" s="4"/>
    </row>
    <row r="12" spans="1:4" x14ac:dyDescent="0.2">
      <c r="A12" s="1" t="s">
        <v>12</v>
      </c>
      <c r="B12" s="2">
        <v>13947599.63768116</v>
      </c>
      <c r="C12" s="6"/>
      <c r="D12" s="4"/>
    </row>
    <row r="13" spans="1:4" x14ac:dyDescent="0.2">
      <c r="A13" s="5" t="s">
        <v>13</v>
      </c>
      <c r="B13" s="2">
        <v>12846881.25</v>
      </c>
      <c r="C13" s="6"/>
      <c r="D13" s="4"/>
    </row>
    <row r="14" spans="1:4" x14ac:dyDescent="0.2">
      <c r="A14" s="5" t="s">
        <v>14</v>
      </c>
      <c r="B14" s="2">
        <v>12297519.565217391</v>
      </c>
      <c r="C14" s="3"/>
      <c r="D14" s="4"/>
    </row>
    <row r="15" spans="1:4" x14ac:dyDescent="0.2">
      <c r="A15" s="5" t="s">
        <v>15</v>
      </c>
      <c r="B15" s="2">
        <v>4500000</v>
      </c>
      <c r="C15" s="6"/>
      <c r="D15" s="4"/>
    </row>
    <row r="16" spans="1:4" x14ac:dyDescent="0.2">
      <c r="A16" s="1" t="s">
        <v>16</v>
      </c>
      <c r="B16" s="2">
        <v>9345000</v>
      </c>
      <c r="C16" s="6"/>
      <c r="D16" s="4"/>
    </row>
    <row r="17" spans="1:4" x14ac:dyDescent="0.2">
      <c r="A17" s="5" t="s">
        <v>17</v>
      </c>
      <c r="B17" s="2">
        <v>12377999.999999998</v>
      </c>
      <c r="C17" s="6"/>
      <c r="D17" s="4"/>
    </row>
    <row r="18" spans="1:4" x14ac:dyDescent="0.2">
      <c r="A18" s="5" t="s">
        <v>18</v>
      </c>
      <c r="B18" s="2">
        <v>17790000</v>
      </c>
      <c r="C18" s="6"/>
      <c r="D18" s="4"/>
    </row>
    <row r="19" spans="1:4" x14ac:dyDescent="0.2">
      <c r="A19" s="5" t="s">
        <v>19</v>
      </c>
      <c r="B19" s="2">
        <v>14964000</v>
      </c>
      <c r="C19" s="6"/>
      <c r="D19" s="4"/>
    </row>
    <row r="20" spans="1:4" x14ac:dyDescent="0.2">
      <c r="A20" s="5" t="s">
        <v>20</v>
      </c>
      <c r="B20" s="2">
        <v>9097500</v>
      </c>
      <c r="C20" s="6"/>
      <c r="D20" s="4"/>
    </row>
    <row r="21" spans="1:4" x14ac:dyDescent="0.2">
      <c r="A21" s="5" t="s">
        <v>21</v>
      </c>
      <c r="B21" s="2">
        <v>7982500</v>
      </c>
      <c r="C21" s="6"/>
      <c r="D21" s="4"/>
    </row>
  </sheetData>
  <conditionalFormatting sqref="A2:A21">
    <cfRule type="cellIs" dxfId="11" priority="7" operator="equal">
      <formula>"Nghỉ"</formula>
    </cfRule>
  </conditionalFormatting>
  <conditionalFormatting sqref="C2:C21">
    <cfRule type="cellIs" dxfId="5" priority="1" operator="equal">
      <formula>"Nghỉ"</formula>
    </cfRule>
  </conditionalFormatting>
  <conditionalFormatting sqref="D6">
    <cfRule type="expression" dxfId="4" priority="5">
      <formula>WEEKDAY(#REF!)=1</formula>
    </cfRule>
  </conditionalFormatting>
  <conditionalFormatting sqref="D5">
    <cfRule type="expression" dxfId="3" priority="3">
      <formula>WEEKDAY(#REF!)=1</formula>
    </cfRule>
  </conditionalFormatting>
  <conditionalFormatting sqref="D8">
    <cfRule type="expression" dxfId="2" priority="4">
      <formula>WEEKDAY(#REF!)=1</formula>
    </cfRule>
  </conditionalFormatting>
  <conditionalFormatting sqref="D7">
    <cfRule type="expression" dxfId="1" priority="2">
      <formula>WEEKDAY(#REF!)=1</formula>
    </cfRule>
  </conditionalFormatting>
  <conditionalFormatting sqref="D11:D13">
    <cfRule type="expression" dxfId="0" priority="6">
      <formula>WEEKDAY(#REF!)=1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Trung Do</dc:creator>
  <cp:lastModifiedBy>Duc Trung Do</cp:lastModifiedBy>
  <dcterms:created xsi:type="dcterms:W3CDTF">2026-03-16T08:45:16Z</dcterms:created>
  <dcterms:modified xsi:type="dcterms:W3CDTF">2026-03-16T08:47:20Z</dcterms:modified>
</cp:coreProperties>
</file>